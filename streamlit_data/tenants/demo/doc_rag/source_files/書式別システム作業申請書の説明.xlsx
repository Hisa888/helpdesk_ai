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Z:\部門共通\申請書\システム作業申請書\"/>
    </mc:Choice>
  </mc:AlternateContent>
  <xr:revisionPtr revIDLastSave="0" documentId="13_ncr:1_{0B68EBA7-50ED-4B1F-ABB2-7E4AB6DE4FF8}" xr6:coauthVersionLast="47" xr6:coauthVersionMax="47" xr10:uidLastSave="{00000000-0000-0000-0000-000000000000}"/>
  <bookViews>
    <workbookView xWindow="1950" yWindow="1860" windowWidth="21240" windowHeight="14340" firstSheet="1" activeTab="3" xr2:uid="{925C9606-B8B7-4E53-A4B3-61ED16353404}"/>
  </bookViews>
  <sheets>
    <sheet name="Sheet1" sheetId="1" state="hidden" r:id="rId1"/>
    <sheet name="項目一覧" sheetId="6" r:id="rId2"/>
    <sheet name="フロー" sheetId="9" r:id="rId3"/>
    <sheet name="MEMO" sheetId="10" r:id="rId4"/>
    <sheet name="パス" sheetId="8" r:id="rId5"/>
    <sheet name="LISTBOX管理" sheetId="7" state="hidden" r:id="rId6"/>
    <sheet name="規定" sheetId="3" state="hidden" r:id="rId7"/>
  </sheets>
  <definedNames>
    <definedName name="_xlnm._FilterDatabase" localSheetId="1" hidden="1">項目一覧!$B$2:$N$40</definedName>
    <definedName name="システム開発系パス">パス!$I$2</definedName>
    <definedName name="日々系_社長承認まで">パス!$I$3</definedName>
    <definedName name="日々系_社長承認までパス">パス!$I$3</definedName>
    <definedName name="日々系パス">パス!$I$4</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4" i="6" l="1"/>
  <c r="L25" i="6" l="1"/>
  <c r="L10" i="6" l="1"/>
  <c r="L9" i="6"/>
  <c r="L12" i="6" l="1"/>
  <c r="L15" i="6"/>
  <c r="L39" i="6"/>
  <c r="L37" i="6"/>
  <c r="L33" i="6"/>
  <c r="L32" i="6"/>
  <c r="L31" i="6"/>
  <c r="L30" i="6"/>
  <c r="L28" i="6"/>
  <c r="B29" i="6"/>
  <c r="L27" i="6"/>
  <c r="L26" i="6"/>
  <c r="L24" i="6"/>
  <c r="L23" i="6"/>
  <c r="L22" i="6"/>
  <c r="L21" i="6"/>
  <c r="L20" i="6"/>
  <c r="L16" i="6"/>
  <c r="L14" i="6"/>
  <c r="L4" i="6"/>
  <c r="L5" i="6"/>
  <c r="L6" i="6"/>
  <c r="L7" i="6"/>
  <c r="L8" i="6"/>
  <c r="L19" i="6"/>
  <c r="L18" i="6"/>
  <c r="I4" i="8"/>
  <c r="I3" i="8"/>
  <c r="I2" i="8"/>
  <c r="B5" i="6" l="1"/>
  <c r="B6" i="6"/>
  <c r="B7" i="6"/>
  <c r="B8" i="6"/>
  <c r="B9" i="6"/>
  <c r="B10" i="6"/>
  <c r="B11" i="6"/>
  <c r="B12" i="6"/>
  <c r="B13" i="6"/>
  <c r="B14" i="6"/>
  <c r="B15" i="6"/>
  <c r="B16" i="6"/>
  <c r="B17" i="6"/>
  <c r="B18" i="6"/>
  <c r="B19" i="6"/>
  <c r="B20" i="6"/>
  <c r="B21" i="6"/>
  <c r="B22" i="6"/>
  <c r="B23" i="6"/>
  <c r="B24" i="6"/>
  <c r="B25" i="6"/>
  <c r="B26" i="6"/>
  <c r="B27" i="6"/>
  <c r="B28" i="6"/>
  <c r="B30" i="6"/>
  <c r="B31" i="6"/>
  <c r="B32" i="6"/>
  <c r="B33" i="6"/>
  <c r="B34" i="6"/>
  <c r="B35" i="6"/>
  <c r="B36" i="6"/>
  <c r="B37" i="6"/>
  <c r="B38" i="6"/>
  <c r="B39" i="6"/>
  <c r="B40" i="6"/>
  <c r="B4" i="6"/>
</calcChain>
</file>

<file path=xl/sharedStrings.xml><?xml version="1.0" encoding="utf-8"?>
<sst xmlns="http://schemas.openxmlformats.org/spreadsheetml/2006/main" count="681" uniqueCount="426">
  <si>
    <t>システム責任者</t>
    <rPh sb="4" eb="7">
      <t>セキニンシャ</t>
    </rPh>
    <phoneticPr fontId="1"/>
  </si>
  <si>
    <t>システム管理者</t>
    <rPh sb="4" eb="7">
      <t>カンリシャ</t>
    </rPh>
    <phoneticPr fontId="1"/>
  </si>
  <si>
    <t>システム作業依頼書一覧</t>
    <rPh sb="4" eb="6">
      <t>サギョウ</t>
    </rPh>
    <rPh sb="6" eb="8">
      <t>イライ</t>
    </rPh>
    <rPh sb="8" eb="9">
      <t>ショ</t>
    </rPh>
    <rPh sb="9" eb="11">
      <t>イチラン</t>
    </rPh>
    <phoneticPr fontId="1"/>
  </si>
  <si>
    <t>件数</t>
    <rPh sb="0" eb="2">
      <t>ケンスウ</t>
    </rPh>
    <phoneticPr fontId="1"/>
  </si>
  <si>
    <t>フォルダ権限　設定・解除</t>
    <phoneticPr fontId="3"/>
  </si>
  <si>
    <t>OBIC権限　設定・解除</t>
    <phoneticPr fontId="3"/>
  </si>
  <si>
    <t>ネオポータル権限設定・解除　領域作成</t>
    <rPh sb="6" eb="8">
      <t>ケンゲン</t>
    </rPh>
    <rPh sb="8" eb="10">
      <t>セッテイ</t>
    </rPh>
    <rPh sb="11" eb="13">
      <t>カイジョ</t>
    </rPh>
    <rPh sb="14" eb="16">
      <t>リョウイキ</t>
    </rPh>
    <rPh sb="16" eb="18">
      <t>サクセイ</t>
    </rPh>
    <phoneticPr fontId="3"/>
  </si>
  <si>
    <t>マイナンバー室への入室権限付与</t>
    <rPh sb="6" eb="7">
      <t>シツ</t>
    </rPh>
    <rPh sb="9" eb="11">
      <t>ニュウシツ</t>
    </rPh>
    <rPh sb="11" eb="13">
      <t>ケンゲン</t>
    </rPh>
    <rPh sb="13" eb="15">
      <t>フヨ</t>
    </rPh>
    <phoneticPr fontId="3"/>
  </si>
  <si>
    <t>プリンター権限　設定・解除</t>
    <rPh sb="5" eb="7">
      <t>ケンゲン</t>
    </rPh>
    <rPh sb="8" eb="10">
      <t>セッテイ</t>
    </rPh>
    <rPh sb="11" eb="13">
      <t>カイジョ</t>
    </rPh>
    <phoneticPr fontId="3"/>
  </si>
  <si>
    <t>その他権限　設定・解除</t>
    <phoneticPr fontId="3"/>
  </si>
  <si>
    <t>システム導入依頼</t>
    <rPh sb="4" eb="6">
      <t>ドウニュウ</t>
    </rPh>
    <phoneticPr fontId="3"/>
  </si>
  <si>
    <t>メール関連　新規・追加・削除</t>
    <phoneticPr fontId="3"/>
  </si>
  <si>
    <t>PC/Tel　設置・移動・撤去</t>
    <phoneticPr fontId="3"/>
  </si>
  <si>
    <t>回線/回線機器　設置・移動・撤去</t>
    <rPh sb="3" eb="5">
      <t>カイセン</t>
    </rPh>
    <rPh sb="5" eb="7">
      <t>キキ</t>
    </rPh>
    <phoneticPr fontId="3"/>
  </si>
  <si>
    <t>その他　設置・移動・撤去</t>
    <phoneticPr fontId="3"/>
  </si>
  <si>
    <t>形骸化？</t>
    <rPh sb="0" eb="3">
      <t>ケイガイカ</t>
    </rPh>
    <phoneticPr fontId="3"/>
  </si>
  <si>
    <t>形骸化</t>
    <rPh sb="0" eb="2">
      <t>ケイガイ</t>
    </rPh>
    <rPh sb="2" eb="3">
      <t>カ</t>
    </rPh>
    <phoneticPr fontId="3"/>
  </si>
  <si>
    <t>不要？</t>
    <rPh sb="0" eb="2">
      <t>フヨウ</t>
    </rPh>
    <phoneticPr fontId="3"/>
  </si>
  <si>
    <t>使うかも？</t>
    <rPh sb="0" eb="1">
      <t>ツカ</t>
    </rPh>
    <phoneticPr fontId="3"/>
  </si>
  <si>
    <t>Teams</t>
    <phoneticPr fontId="1"/>
  </si>
  <si>
    <t>パソコンに対する措置</t>
  </si>
  <si>
    <t>ネットワーク機器および配線</t>
  </si>
  <si>
    <t>社内システムへのリモートアクセス</t>
  </si>
  <si>
    <t>第3条 　守秘義務</t>
    <phoneticPr fontId="1"/>
  </si>
  <si>
    <t>第〇条 　情報システムの導入および変更</t>
    <phoneticPr fontId="1"/>
  </si>
  <si>
    <t>第7条 　アクセス権限の設定</t>
    <phoneticPr fontId="1"/>
  </si>
  <si>
    <t>第9条 　個人IDとパスワードの運営方法</t>
    <phoneticPr fontId="1"/>
  </si>
  <si>
    <t>第18条 　パソコンに対する措置</t>
    <phoneticPr fontId="1"/>
  </si>
  <si>
    <t>第23条 　クラウドサービスの利用</t>
    <phoneticPr fontId="1"/>
  </si>
  <si>
    <t>第24条 　ネットワーク機器および配線における措置</t>
    <phoneticPr fontId="1"/>
  </si>
  <si>
    <t>第29条 　無線LANなどの利用</t>
    <phoneticPr fontId="1"/>
  </si>
  <si>
    <t>第30条 　社内システムへのリモートアクセス</t>
    <phoneticPr fontId="1"/>
  </si>
  <si>
    <t>要件定義書、システム設計書（基本設計書)に準ずる内容</t>
  </si>
  <si>
    <t>情報システム保守ルール及び手順の決定</t>
  </si>
  <si>
    <t>情報システムに何らかの修正または変更を加える場合</t>
  </si>
  <si>
    <t>プログラム変更が行われていないかを定期的に確認する必要</t>
  </si>
  <si>
    <t>内容</t>
    <rPh sb="0" eb="2">
      <t>ナイヨウ</t>
    </rPh>
    <phoneticPr fontId="1"/>
  </si>
  <si>
    <t>条項</t>
    <rPh sb="0" eb="2">
      <t>ジョウコウ</t>
    </rPh>
    <phoneticPr fontId="1"/>
  </si>
  <si>
    <r>
      <t>無線</t>
    </r>
    <r>
      <rPr>
        <b/>
        <sz val="11"/>
        <color rgb="FF000000"/>
        <rFont val="Calibri"/>
        <family val="2"/>
      </rPr>
      <t>LAN</t>
    </r>
    <r>
      <rPr>
        <b/>
        <sz val="11"/>
        <color rgb="FF000000"/>
        <rFont val="游ゴシック"/>
        <family val="3"/>
        <charset val="128"/>
        <scheme val="minor"/>
      </rPr>
      <t>などの利用</t>
    </r>
    <phoneticPr fontId="1"/>
  </si>
  <si>
    <t>クラウドサービスの利用</t>
    <phoneticPr fontId="1"/>
  </si>
  <si>
    <t>アクセス権限の設定</t>
    <phoneticPr fontId="1"/>
  </si>
  <si>
    <t>権利者</t>
    <rPh sb="0" eb="3">
      <t>ケンリシャ</t>
    </rPh>
    <phoneticPr fontId="1"/>
  </si>
  <si>
    <t>責任者</t>
    <rPh sb="0" eb="3">
      <t>セキニンシャ</t>
    </rPh>
    <phoneticPr fontId="1"/>
  </si>
  <si>
    <t>担当者</t>
    <rPh sb="0" eb="3">
      <t>タントウシャ</t>
    </rPh>
    <phoneticPr fontId="1"/>
  </si>
  <si>
    <t>第8条 　個人IDとパスワードの管理</t>
    <phoneticPr fontId="1"/>
  </si>
  <si>
    <t>(1) 7桁以上の文字数を設定する。</t>
    <phoneticPr fontId="1"/>
  </si>
  <si>
    <t>(2) 数字、アルファベットなどを組み合わせる。</t>
    <phoneticPr fontId="1"/>
  </si>
  <si>
    <t>(3) 個人に関連する情報を使用しない。</t>
    <phoneticPr fontId="1"/>
  </si>
  <si>
    <t>(4) 推測されやすいパスワードは設定しない。</t>
    <phoneticPr fontId="1"/>
  </si>
  <si>
    <t>(5) パスワードは各個人で管理を行い、他人に知られないように注意する。</t>
    <phoneticPr fontId="1"/>
  </si>
  <si>
    <t>第4条 　罰則</t>
    <phoneticPr fontId="1"/>
  </si>
  <si>
    <t>この規程に故意又は重大な過失により違反した役員及び従業員は、就業規則などの定めるところにより懲戒に処するものとする。</t>
    <phoneticPr fontId="1"/>
  </si>
  <si>
    <t>第5条 　情報システム責任者</t>
    <phoneticPr fontId="1"/>
  </si>
  <si>
    <t xml:space="preserve">社長は社内の情報システムに責任を持てる者を情報システム責任者として親会社日本管財ホールディングス株式会社または当社から1名以上指名しなければならない。なお、社長自身を指名することを妨げない。
情報システム責任者の責務は、次のとおりとする。
１．情報技術戦略の立案と実行
（１）経営理念にあった情報化戦略を策定する
（２）情報システムを活用した戦略を立て社内業務プロセスを改善する
２．情報技術とシステムの選択
（１）情報システム予算の管理を行うとともに情報システム関連プロジェクトの優先順位付けを行う
（２）情報セキュリティ対策を行い不正アクセスや情報漏洩の防止を図る
３．情報システムの統括
（１）情報システムの開発および運用管理を統括する
（２）情報システム資産および情報システムに関わる人材を統括する
（３）第６条に定める情報システム担当者を指定する
</t>
    <phoneticPr fontId="1"/>
  </si>
  <si>
    <t>第6条 　情報システム担当者 （情報システム管理者責任者が指定する担当者）</t>
    <phoneticPr fontId="1"/>
  </si>
  <si>
    <t>1.利用者管理</t>
  </si>
  <si>
    <t>(2)個人IDを利用者単位で割り当て、パスワードを必ず設定しなければならない。</t>
  </si>
  <si>
    <t>2.パスワードは容易に推測されないように設定し、その秘密を保たなければならない。リスク管理</t>
  </si>
  <si>
    <t>サーバに格納された情報、及びその情報のもととなる紙、記録媒体について、情報への不正アクセス、情報の紛失、破壊、改ざん及び漏えいのリスク（以下「リスク」という。）が存在することを認識するとともに、社内に周知徹底しなければならない。</t>
  </si>
  <si>
    <t>3.情報管理</t>
  </si>
  <si>
    <t>リスクを回避するために、以下の予防措置を講じて情報を管理しなければならない。</t>
  </si>
  <si>
    <t>(1)通信経路上の情報は、漏えいを防止する仕組みを確立しなければならない。</t>
  </si>
  <si>
    <t>(2)重要な情報を記録した紙、記録媒体などは、安全な場所に保管しなければならない。</t>
  </si>
  <si>
    <t>(3)重要な情報を記録した紙、記録媒体などを廃棄する場合は、内容が漏洩しない方法で行わなければならない。</t>
  </si>
  <si>
    <t>(4)ファイルのバックアップを随時行い、その記録媒体などを安全な方法で保管しなければならない。特に重要なファイルについては、複数の記録媒体などにバックアップを行いそれぞれ別の場所に安全な方法で保管しなければならない。</t>
  </si>
  <si>
    <t>4.サーバ管理</t>
  </si>
  <si>
    <t>リスクを回避するために、以下の予防措置を講じてサーバを管理しなければならない。</t>
  </si>
  <si>
    <t>(1)サーバは、格納されるデータ又はファイルの機密性に応じた場所に設置し、管理しなければならない。</t>
  </si>
  <si>
    <t>(2)移動可能な機器は、盗難防止策を講じなければならない。</t>
  </si>
  <si>
    <t>5.情報収集</t>
  </si>
  <si>
    <t>(1)セキュリティ対策に関する情報を随時収集しなければならない。</t>
  </si>
  <si>
    <t>(2)収集した情報を分析し、重要な情報については速やかに対応しなければならない。</t>
  </si>
  <si>
    <t>6.プロジェクト運営</t>
  </si>
  <si>
    <t>情報システム責任者の元で、情報システム関連プロジェクトの立ち上げおよび実務的な運営を行う。プロジェクトには討議、その他の運営における事務処理をなす下部機構または幹事を置くことができる。</t>
  </si>
  <si>
    <t>1.情報システム担当者が、各種情報システムに関するアクセス権限の付与および変更を行う場合は、情報システム責任者の承認を得なければならない。</t>
  </si>
  <si>
    <t>2.情報システム担当者は、重要データはアクセス権限を設定するようにし、情報システム担当者及び利用者以外がアクセスできないような措置を講じる。</t>
  </si>
  <si>
    <t>3.情報システム担当者は、重要データへのアクセス権限を付与する利用者数を必要最小限に限定する措置を講じる。</t>
  </si>
  <si>
    <t>4.情報システム担当者は、アクセス権限の登録、変更、抹消の記録を管理簿（→管理簿はなし　ＩＴＳのものを参考にしたい）などにより管理し、定期的にシステム責任者に提出することとする。</t>
  </si>
  <si>
    <t>5.情報システム担当者は、利用者の役割に応じたアクセス権限が適切に付与されているか次の項目を踏まえ、適　　　宜アクセス権限の見直しを行う。</t>
  </si>
  <si>
    <t>(1)長期出張、休職、退職時</t>
  </si>
  <si>
    <t>(2)新システム稼動時</t>
  </si>
  <si>
    <t>(3)所属、職制、組織などの変更時</t>
  </si>
  <si>
    <t>1.個人IDは次の要領にて運営する。</t>
  </si>
  <si>
    <t>(1)情報システム担当者が、個人IDを発行する場合は、情報システム責任者の承認を得なければならない。</t>
  </si>
  <si>
    <t>但し、顧客に・・・</t>
  </si>
  <si>
    <t>(2)情報システム担当者は、個人IDの管理を行い、必要最小限業務に必要な者に原則個人単位で割り当てる。ただし、業務上やむを得ない場合は、必要最小限のグループ単位で割り当てる。</t>
  </si>
  <si>
    <t>(3)情報システム担当者は、個人IDは定期的に見直しを行い、無断変更・追加されていないか確認する。</t>
  </si>
  <si>
    <t>(4)情報システム担当者は、個人ID利用者の退職、異動など個人IDが不要となった場合は速やかに削除を行う。</t>
  </si>
  <si>
    <t>(5)情報システム担当者は、次のいずれかに該当する場合、個人IDを無効にすることができる。</t>
  </si>
  <si>
    <t>①個人IDが不正に利用されたと疑われる場合</t>
  </si>
  <si>
    <t>②パスワードが破られた場合</t>
  </si>
  <si>
    <t>③パスワードを変更していないと疑われる場合</t>
  </si>
  <si>
    <t>2.パスワードは次の要領にて運営する。</t>
  </si>
  <si>
    <t>入力したパスワードは、非表示にする。</t>
  </si>
  <si>
    <t>第10条 　損壊の防止</t>
    <phoneticPr fontId="1"/>
  </si>
  <si>
    <t>1.情報システム担当者は、重要データの損壊を防止するために、原則週1回以上、記録媒体などにバックアップを行う。なお、バックアップ手順については、別に定める手順書などに従い、実施するものとする。</t>
  </si>
  <si>
    <t>2.情報システム担当者は、バックアップした記録媒体は、所定の保管棚などの施錠可能な場所に保管する。</t>
  </si>
  <si>
    <t>第11条 　保管場所</t>
    <phoneticPr fontId="1"/>
  </si>
  <si>
    <t>重要データの保管は、所定の保管棚などに格納し、常に施錠しなければならない。</t>
    <phoneticPr fontId="1"/>
  </si>
  <si>
    <t>第12条 　電子メールのデータ送信</t>
    <phoneticPr fontId="1"/>
  </si>
  <si>
    <t>1.重要データを電子メールなどの方法で送信することは原則禁止する。ただし業務上やむを得ない場合、利用者はファイルにパスワードを設定したうえで、そのパスワードは別送するなどの措置を講じなければならない。</t>
  </si>
  <si>
    <t>2.利用者は、電子メールの送受信について、情報システム担当者が指定した電子メールソフトを利用しなければならない。</t>
  </si>
  <si>
    <t>第13条 　FAXの送信</t>
    <phoneticPr fontId="1"/>
  </si>
  <si>
    <t>利用者は、重要データをFAXで送信する場合、宛先番号確認、受領確認など、誤送信の防止及び重要データの紛失など防止のための対策を講じる。</t>
  </si>
  <si>
    <t>第14条 　紙及び記録媒体の授受</t>
    <phoneticPr fontId="1"/>
  </si>
  <si>
    <t>利用者は、重要データを記録した紙及び記録媒体の授受は、送付状、授受管理票などにより確認しなければならない。←できていない。</t>
  </si>
  <si>
    <t>第15条 　ネットワーク上でのデータの授受</t>
    <phoneticPr fontId="1"/>
  </si>
  <si>
    <t>情報システム担当者は、社内システムにおいて、ネットワークを介して外部との重要データの授受を行う場合は、認証機能、暗号機能及びアクセス制御機能を設定する。又、WEBホームページ</t>
  </si>
  <si>
    <t>上で重要データを収集する場合は必ずSSLなどの暗号化の措置を講じる｡</t>
  </si>
  <si>
    <t>第16条 　アクセスログの取得及び点検</t>
    <phoneticPr fontId="1"/>
  </si>
  <si>
    <t>第17条 　ログの管理</t>
    <phoneticPr fontId="1"/>
  </si>
  <si>
    <t>情報システム担当者は、取得したアクセスログについては、消去や改ざんをされないために別サーバに保存するなど必要な措置を講じて安全な場所に最低6ヶ月間保管する。</t>
  </si>
  <si>
    <t>★LanScopeサーバのバックアップ世代数変更</t>
  </si>
  <si>
    <t>1.業務に利用するパソコンは会社もしくは顧客から貸与されたパソコンに限定し、その他のパソコンなどを利用してはならない。但し、情報システム担当者の承認を得たシステム、またはアプリケーションを利用する場合はその限りではない。尚、顧客から貸与されたパソコンは社内ネットワークに接続させないものとする。</t>
  </si>
  <si>
    <t>2.利用者は、ノートパソコン、モバイルパソコンは、退社時に鍵のかかる引出しに格納する又はワイヤーなどによる固定など、盗難防止策を講じる。★会議室１、２（執務室外）のパソコンに合うワイヤーを選定し、設置する。</t>
  </si>
  <si>
    <t>3.情報システム担当者は、各部門が管理しているすべてのパソコンの台帳を作成し、実態を把握するものとする。</t>
  </si>
  <si>
    <t>★顧客貸与物の管理簿作成</t>
  </si>
  <si>
    <t>4.利用者は、パソコンが無断で利用されないよう個人認証措置やパスワードによる保護付きスクリーンセーバ（設定時間5分）などの対策を講じる。←今はグループポリシーで10分</t>
  </si>
  <si>
    <t>5. 利用者は、重要データを各パソコンに保管せず、アクセス制御やバックアップを遂行している部門のファイルサーバに格納する。業務上やむを得ずパソコンに情報を格納する場合は、利用者ＩＤ、パスワードによる認証措置を講じる。</t>
  </si>
  <si>
    <t>6.個人所有のUSBメモリ、フロッピーディスク、MO、CD、DVD、ブルーレイディスク、ハードディスクなどの記録媒体を使用してはならない。また、個人契約の外部ストレージ、クラウドサービスの利用も禁止とする。★ITSに外部ストレージ、クラウドサービスはどのように制限禁止しているか確認。</t>
  </si>
  <si>
    <t>7.情報システム担当者は、長期間利用しないパソコンは、ネットワークから切り離す措置を講じる。</t>
  </si>
  <si>
    <t>8.ノートパソコンの社外への持ち出しを禁止する。ただし、業務上やむを得ず社外へ持ち出す場合、利用者はBIOSパスワードを設定のうえ、事前に情報システム担当者の承認を得るものとする。</t>
  </si>
  <si>
    <t>★BIOSのパスワード設定</t>
  </si>
  <si>
    <t>第19条 　タブレット・スマートフォンの管理についての措置</t>
    <phoneticPr fontId="1"/>
  </si>
  <si>
    <t>1.利用者は、タブレット・スマートフォンは、退社時に鍵のかかる引出しに格納するなど、盗難防止策を講じる。</t>
  </si>
  <si>
    <t>2.各部門の情報システム担当者は、各部門が管理しているすべてのタブレット・スマートフォンを台帳またはそれに準ずる仕組みを用いて、定期的にデバイス情報を収集、監視して実態を把握するものとする。</t>
  </si>
  <si>
    <t>3.利用者は、タブレット・スマートフォンが無断で利用されないよう個人認証措置やパスワードによる保護付きスクリーンセーバ等の一定時間（設定時間5分）で切り替わる設定を行うなどの対策を講じる。★MDMの設定、社内に周知（パスワード設定、指紋認証）</t>
  </si>
  <si>
    <t>4.利用者は、重要データをタブレット・スマートフォンに保管せず、アクセス制御やバックアップを遂行している部門のファイルサーバに格納する。業務上やむを得ずタブレット・スマートフォンに情報を格納する場合は、利用者ID、パスワードによる認証措置を講じる。★MDMの設定見直しDL禁止など</t>
  </si>
  <si>
    <t>5.情報システム担当者は、タブレット・スマートフォンが盗難・紛失された場合には、遠隔からのロックやデータ消去等の措置を講じる。</t>
  </si>
  <si>
    <t>6.情報システム担当者は、業務上必要のないアプリケーション及び提供元不明のアプリケーションのインストールを制限する仕組みを講じる。</t>
  </si>
  <si>
    <t>第20条 　サーバに対する措置</t>
    <phoneticPr fontId="1"/>
  </si>
  <si>
    <t>1.情報システム担当者は、情報資産を全社的規模で集約し格納するようなサーバは、盗難、破壊、破損などの物理的な保護対策のため、サーバルームなど許可を与えられた者以外立ち入れない場所（以下「サーバルーム」という。）又は施錠可能なマシン収納ラックに設置し、マシン収納ラックの鍵を適切に管理する｡</t>
  </si>
  <si>
    <t>2.情報システム担当者は、重要データを格納したサーバは、サーバルーム若しくは施錠可能なマシン収納ラックへの設置又はワイヤーなどにより固定する。</t>
  </si>
  <si>
    <t>3.情報システム担当者以外の者は、サーバを操作してはならない。</t>
  </si>
  <si>
    <t>4.情報システム担当者は、重要なファイルへのアクセス権限は、担当者以外の者に与えてはならない。</t>
  </si>
  <si>
    <t>5.情報システム担当者は、サーバが無断で利用されないよう、個人認証措置やパスワードによる保護付きスクリーンセーバ（設定時間5分）などの対策を講じる。</t>
  </si>
  <si>
    <t>6.部門サーバの持ち出し、持ち込みは禁止する。</t>
  </si>
  <si>
    <t>7.情報システム担当者は、長期間利用しないサーバは、ネットワークから切り離す措置を講じる。</t>
  </si>
  <si>
    <t>8.情報システム担当者は、各部門が管理しているすべてのサーバの台帳を作成し、実態を把握できるようにする。</t>
  </si>
  <si>
    <t>9.情報システム担当者は、サーバルーム若しくは施錠可能なマシン収納ラックが設置された室は、火災対策のため火気厳禁とし、必要があれば消火器を設置する。又、漏水対策のためスプリンクラーの直下に設置しないなどの措置を講じる。★サーバルームに１個消火器を買う</t>
  </si>
  <si>
    <t>10.情報システム担当者は、重要データを格納したサーバには、地震対策のため固定ベルトや耐震マット敷設などの措置を講じる。</t>
  </si>
  <si>
    <t>11.情報システム担当者は、サーバに必要があれば停電対策のため、無停電電源装置（UPS）を設置する。←現状必要なし</t>
  </si>
  <si>
    <t>第21条 　サーバルーム</t>
    <phoneticPr fontId="1"/>
  </si>
  <si>
    <t>1.情報システム担当者は、常時施錠又は電子ロックなどの施錠設備により、入室を制限する。</t>
    <phoneticPr fontId="1"/>
  </si>
  <si>
    <t>第22条 　データセンター</t>
    <phoneticPr fontId="1"/>
  </si>
  <si>
    <t>1.クラウドサービスのroot（最上位権限）ユーザを利用できる者は、原則として情報システム責任者または情報システム担当者のみとしなければならない。但し、情報システム担当者が利用する場合は、情報システム責任者の承認を得るものとする。←最初に承認すれば良いとするのか使用する度に情報システム責任者の承認が必要か確認</t>
  </si>
  <si>
    <t>2.rootユーザは、請求情報の確認や特別な理由がない限り原則使用しない。また、担当者の変更などの際に適宜パスワードの変更を実施する。</t>
  </si>
  <si>
    <t>3.クラウドサービスの特権ユーザについては、アクセス権限の登録、変更、抹消の記録を管理簿などにより管理し、適宜見直しを行う。←管理者権限一覧ファイルにて管理している</t>
  </si>
  <si>
    <t>4.第三者機関の承認を得ていない事業者のサービスを利用する場合は、情報システム担当者はデータセンターの保管施設の堅牢性や情報保全性についてチェック表などを用いて確認を行う。</t>
  </si>
  <si>
    <t>1.ネットワークの構成変更は、情報システム責任者に承認を得た後、情報システム担当者が構築する。</t>
  </si>
  <si>
    <t>2.情報システム担当者は、ネットワークの配線、電源ケーブルについて傍受又は損傷を防止するためフリーアクセスフロアやモールなど、外部に露出しない措置を講じるものとする。</t>
  </si>
  <si>
    <t>3.情報システム担当者は、ルータなどの通信機器のセキュリティ機能が正確に設定されているかを確認する。←年次タスクとしてチェックを行う。</t>
  </si>
  <si>
    <t>4.情報システム担当者は、ファイアウォール、ルータ等の設定を行い、社内の情報システムを無権限アクセスから保護する措置を講じるものとする。</t>
  </si>
  <si>
    <t>第25条 　携帯電話に対する措置</t>
    <phoneticPr fontId="1"/>
  </si>
  <si>
    <t>利用者は、会社が貸与する業務用携帯電話、及び私物の携帯電話を私用と業務用の兼用にしている場合については、盗難・紛失時に個人情報が漏えいしないよう次の措置を講じる。</t>
  </si>
  <si>
    <t>1.登録する個人情報は、必要最低限の情報とし肌身離さず携帯する。</t>
  </si>
  <si>
    <t>2.オートロックやアドレス帳制限などの利用制限を設定する。</t>
  </si>
  <si>
    <t>第26条 　情報システム利用時の禁止項目</t>
    <phoneticPr fontId="1"/>
  </si>
  <si>
    <t>利用者は、情報システムを利用する際、次の項目を遵守する。</t>
  </si>
  <si>
    <t>1.業務目的以外のデータ交換及びデータ持ち出しを禁止する。</t>
  </si>
  <si>
    <t>2.電子メールやサイトアクセスなど、インターネットサービスの不適切な利用を禁止する。</t>
  </si>
  <si>
    <t>3.良識に反する電子メールの利用を禁止する。</t>
  </si>
  <si>
    <t>4.業務に不必要なソフトウェアの使用を禁止する。</t>
  </si>
  <si>
    <t>5.Winnyその他のファイル交換ソフトをパソコンにインストールすることを禁止する。</t>
  </si>
  <si>
    <t>第27条 　コンピュータウィルス対策</t>
    <phoneticPr fontId="1"/>
  </si>
  <si>
    <t>コンピュータウィルス対策として次の感染防止策を講じなければならない。</t>
  </si>
  <si>
    <t>1.情報システム担当者は、ウィルス対策ソフトの最新バージョンを提供する。←サーバ側はApexOne、パソコンはらくらくEDR</t>
  </si>
  <si>
    <t>2.情報システム担当者は、ネットワークに接続されている情報処理機器について、ウィルス対策ソフトを管理し、最新でない場合は、利用者に最新状態となるよう指示・指導する。</t>
  </si>
  <si>
    <t>3.利用者は、使用する情報処理機器に情報システム担当者が定めたウィルス対策ソフトを必ず導入し、常に最新の定義ファイルの自動更新を行うよう設定するなどして適用する。ただし、アンチウィルスソフトが提供されていないOSの場合はその限りではない。</t>
  </si>
  <si>
    <t>4.利用者は、外部ネットワークからファイル及びソフトウェアを取り入れた際、情報処理機器において、該当ファイル及びソフトウェアのウィルスチェックを実施する。</t>
  </si>
  <si>
    <t>5.利用者は、差出人が不明のメール、又は不自然な添付メールの添付ファイルは削除する。</t>
  </si>
  <si>
    <t>6.利用者は、ウィルス感染が疑わしい場合及びウィルスを検知した場合は、パソコンをネットワークから切り離し、情報システム担当者へ報告する。</t>
  </si>
  <si>
    <t>第28条 　セキュリティパッチの適用</t>
    <phoneticPr fontId="1"/>
  </si>
  <si>
    <t>利用者は1ヶ月に1回又は自動更新を行うよう設定するなどして、OS、アプリケーションなどに対するセキュリティ対策修正ソフトウェアなどのセキュリティパッチを適用する。セキュリティ対策修正ソフトウェアまたはセキュリティパッチなどの適用により、システムの動作に影響がある場合は、その限りではない。</t>
  </si>
  <si>
    <t>社内ネットワークおよび業務システムを無線LANで利用する場合、利用者は、情報システム担当者の承認を得るものとし次の措置を講じる。</t>
  </si>
  <si>
    <t>1.暗号方式は、WPA2方式WPA２以上を採用する。</t>
  </si>
  <si>
    <t>2.MACアドレスや端末固有識別子などによる端末認証により接続パソコンを限定する。</t>
  </si>
  <si>
    <t>社内システムへのリモートアクセスを実施する場合は、利用者は情報システム担当者の承認を得るものとし次の措置を講じる。</t>
  </si>
  <si>
    <t>1.社内システムへのリモートアクセスには、情報システム担当者が定めたVPNソフト等を用いて通信を行う。</t>
  </si>
  <si>
    <t>2.情報システム担当者は、リモートアクセス用のユーザのアクセス権限の登録、変更、抹消の記録を管理簿などにより管理し、適宜見直しを行う。</t>
  </si>
  <si>
    <t>3.情報システム担当者は、不正アクセスが認められる場合リモートアクセス用のユーザを無効または削除することが出来る。</t>
  </si>
  <si>
    <t>4.外部業者のリモートアクセスについて、通常時は社内システムへアクセスできないように措置を講じる。外部業者が社内システムへのリモートアクセスを行う場合、情報システム担当者責任者は、外部業者からのメールによる申請依頼をもとに社内システムへのアクセスを許可する。</t>
  </si>
  <si>
    <t>第31条監視</t>
  </si>
  <si>
    <t>情報システム担当者は、ネットワークおよびパソコンの利用状況、Webサイトの閲覧状況及び電子メールの利用状況や送受信メッセージについては、必要に応じて監視を行うことができる。</t>
  </si>
  <si>
    <t>第32条 プログラムドキュメントの管理</t>
  </si>
  <si>
    <t>情報システム担当者は、情報処理に関わるプログラム及びこれらに付随するドキュメントの管理に関する措置を定め、機密保護と安全の確保を的確に行う。</t>
  </si>
  <si>
    <t>第33条 脅威発生時の対応</t>
  </si>
  <si>
    <t>脅威が発生した場合には、次の対応を行うものとする。</t>
  </si>
  <si>
    <t>情報システム担当者は、不正アクセス、ウィルスなどがネットワーク経由で拡大、重要データの重大な被害が発生し、情報資産の防護のためにネットワークの切断がやむを得ない場合は、ネットワークを切断する措置を講じる。←らくらくEDRで強制的にネットワークから遮断される</t>
  </si>
  <si>
    <t>情報システム担当者は、情報資産が深刻な被害を受けている時、災害などで電源供給確保が困難な時など、情報資産の防護のために情報システムの停止がやむを得ない場合は、情報システムを停止する。</t>
  </si>
  <si>
    <t>第34条 再発防止の措置</t>
  </si>
  <si>
    <t>情報システム担当者は、再発防止に対処するため、当該脅威の対応策を検討の上、この規程などの改善を行い、再発の防止策を講ずる。</t>
  </si>
  <si>
    <t>第35条 重要データの廃棄</t>
  </si>
  <si>
    <t>情報システム担当者は、重要データの廃棄に関しては、機密の漏えいを防止するために必ず判読不能になるまで物理的に破壊するか、又は、内容を消去した後、廃棄しなければならない。</t>
  </si>
  <si>
    <t>第36条 機器廃棄の措置</t>
  </si>
  <si>
    <t>次の対応を行うものとする。</t>
  </si>
  <si>
    <t>情報システム担当者は、情報処理機器、通信機器などの機器内に情報資産が格納されている場合、記録媒体をディスク情報消去ツールでの消去、又は記録媒体の破壊を行う。</t>
  </si>
  <si>
    <t>情報システム担当者は、廃棄を外部業者に委託する場合は文書により授受を明確にし、廃棄の証明書を受領する。</t>
  </si>
  <si>
    <t>情報システム担当者は、リース業者にパソコン、コピー機などの情報機器を返却する場合は、データ消去の証明書を受領する。ただし、リース業者との間で締結する契約書などに、データ消去の事項を定めている場合については、この限りではない。</t>
  </si>
  <si>
    <t>第37条 電子取引における取引情報の措置</t>
  </si>
  <si>
    <t>次のいずれかの対応を行うものとする。</t>
  </si>
  <si>
    <t>正当な理由がない訂正・削除の防止に関する事務処理手続きを定め、事務処理手続きに沿った運用を実施し、記録の保存と規程の備え付けを行う。</t>
  </si>
  <si>
    <t>取引情報の授受後遅滞なく、記録事項に認定事業者のタイムスタンプを付すとともに、保存を行う者、もしくは、その者を直接監督する者に関する情報を確認することができる。</t>
  </si>
  <si>
    <t>★大矢室長に確認</t>
  </si>
  <si>
    <t>第38条 評価・見直し</t>
  </si>
  <si>
    <t>情報システム責任者および情報システム担当者は、年度毎に環境の変化や新たな脅威が発生していないかを分析・評価し、この規程の見直しを行うとともに変更内容の妥当性を確認する。</t>
  </si>
  <si>
    <t>情報システム責任者および情報システム担当者は、環境の変化や新たな脅威が発生した時は適宜この規程の見直しを行うとともに変更内容の妥当性を確認する。</t>
  </si>
  <si>
    <t>情報システム責任者および情報システム担当者は、この規程に対し、社内又は社外の専門家から定期的に助言を受け、その内容を公表する。</t>
  </si>
  <si>
    <t>★年次タスク</t>
  </si>
  <si>
    <t>第39条 規程の改廃</t>
  </si>
  <si>
    <t>この規程の改廃は、職務権限規程に基づき行わなければならない。</t>
  </si>
  <si>
    <t xml:space="preserve"> </t>
  </si>
  <si>
    <t>〇</t>
    <phoneticPr fontId="1"/>
  </si>
  <si>
    <t>2.サーバルームへ入室する場合、利用者は入室者の氏名及び入退室の時間を台帳に記録する事。</t>
    <rPh sb="42" eb="43">
      <t>コト</t>
    </rPh>
    <phoneticPr fontId="1"/>
  </si>
  <si>
    <t>3.情報システム担当者は、業務時間外、休日及び深夜時間帯などを重点的に不正な入室者がいないかどうか、台帳などの記録を定期的に確認事。
←月一回、サーバルーム上のログとデータセンター上のログを確認する事。</t>
    <rPh sb="64" eb="65">
      <t>コト</t>
    </rPh>
    <rPh sb="99" eb="100">
      <t>コト</t>
    </rPh>
    <phoneticPr fontId="1"/>
  </si>
  <si>
    <t>当社が所有又は保有するサーバを外部に保管する際は、情報システム担当者は、
保管施設の堅牢性、耐災害性や情報保全性についてチェック表などを用いて確認する事。</t>
    <rPh sb="75" eb="76">
      <t>コト</t>
    </rPh>
    <phoneticPr fontId="1"/>
  </si>
  <si>
    <t>4.サーバルームの鍵については、情報システム担当者総務を管掌する部長が保管を行う事。</t>
    <rPh sb="40" eb="41">
      <t>コト</t>
    </rPh>
    <phoneticPr fontId="1"/>
  </si>
  <si>
    <t>(1)サーバを直接利用できる者は、原則として情報システム担当者のみとしなければならない。</t>
    <phoneticPr fontId="1"/>
  </si>
  <si>
    <t>ここ大矢さんへ質問</t>
    <rPh sb="2" eb="4">
      <t>オオヤ</t>
    </rPh>
    <rPh sb="7" eb="9">
      <t>シツモン</t>
    </rPh>
    <phoneticPr fontId="1"/>
  </si>
  <si>
    <t>情報システムの企画・開発・運用並びに利用で知り得た情報や当社のセキュリティに関する事項
は漏洩してはならない。</t>
    <rPh sb="45" eb="47">
      <t>ロウエイ</t>
    </rPh>
    <phoneticPr fontId="1"/>
  </si>
  <si>
    <t>情報システム担当者は、社内システムの重要データのアクセスに対して、アクセスや操作などの記録（アクセスログ）を取得する。情報システム担当者は、取得したアクセスログを原則月1回定期的及び漏えいなどが発生又はその可能性が高いと判断した場合に点検を実施し、その記録を管理簿などにより管理するとともに情報システム責任者に報告する。</t>
    <phoneticPr fontId="1"/>
  </si>
  <si>
    <t>既存システム改修</t>
    <rPh sb="0" eb="2">
      <t>キゾン</t>
    </rPh>
    <rPh sb="6" eb="8">
      <t>カイシュウ</t>
    </rPh>
    <phoneticPr fontId="3"/>
  </si>
  <si>
    <t>システム開発</t>
    <rPh sb="4" eb="6">
      <t>カイハツ</t>
    </rPh>
    <phoneticPr fontId="3"/>
  </si>
  <si>
    <t>システム導入（外部システム・新規アプリケーション）</t>
    <rPh sb="7" eb="9">
      <t>ガイブ</t>
    </rPh>
    <rPh sb="14" eb="16">
      <t>シンキ</t>
    </rPh>
    <phoneticPr fontId="3"/>
  </si>
  <si>
    <t>〇</t>
    <phoneticPr fontId="1"/>
  </si>
  <si>
    <t>監査チェックリスト</t>
    <phoneticPr fontId="1"/>
  </si>
  <si>
    <t>〇</t>
    <phoneticPr fontId="1"/>
  </si>
  <si>
    <t>分類１</t>
    <rPh sb="0" eb="2">
      <t>ブンルイ</t>
    </rPh>
    <phoneticPr fontId="1"/>
  </si>
  <si>
    <t>分類２</t>
    <rPh sb="0" eb="2">
      <t>ブンルイ</t>
    </rPh>
    <phoneticPr fontId="1"/>
  </si>
  <si>
    <t>設置</t>
    <rPh sb="0" eb="2">
      <t>セッチ</t>
    </rPh>
    <phoneticPr fontId="1"/>
  </si>
  <si>
    <t>アクセス権限</t>
    <rPh sb="4" eb="6">
      <t>ケンゲン</t>
    </rPh>
    <phoneticPr fontId="1"/>
  </si>
  <si>
    <t>アプリ改修</t>
    <rPh sb="3" eb="5">
      <t>カイシュウ</t>
    </rPh>
    <phoneticPr fontId="1"/>
  </si>
  <si>
    <t>登録・削除</t>
    <rPh sb="0" eb="2">
      <t>トウロク</t>
    </rPh>
    <rPh sb="3" eb="5">
      <t>サクジョ</t>
    </rPh>
    <phoneticPr fontId="1"/>
  </si>
  <si>
    <t>修正</t>
    <rPh sb="0" eb="2">
      <t>シュウセイ</t>
    </rPh>
    <phoneticPr fontId="1"/>
  </si>
  <si>
    <t>購入</t>
    <rPh sb="0" eb="2">
      <t>コウニュウ</t>
    </rPh>
    <phoneticPr fontId="1"/>
  </si>
  <si>
    <t>No.</t>
    <phoneticPr fontId="1"/>
  </si>
  <si>
    <t>物理セキュリティ設定</t>
    <rPh sb="0" eb="2">
      <t>ブツリ</t>
    </rPh>
    <rPh sb="8" eb="10">
      <t>セッテイ</t>
    </rPh>
    <phoneticPr fontId="1"/>
  </si>
  <si>
    <t>論理セキュリティ設定</t>
    <rPh sb="0" eb="2">
      <t>ロンリ</t>
    </rPh>
    <rPh sb="8" eb="10">
      <t>セッテイ</t>
    </rPh>
    <phoneticPr fontId="1"/>
  </si>
  <si>
    <t>データ抽出</t>
    <rPh sb="3" eb="5">
      <t>チュウシュツ</t>
    </rPh>
    <phoneticPr fontId="1"/>
  </si>
  <si>
    <t>データ加工</t>
    <rPh sb="3" eb="5">
      <t>カコウ</t>
    </rPh>
    <phoneticPr fontId="1"/>
  </si>
  <si>
    <t>データ分析</t>
    <rPh sb="3" eb="5">
      <t>ブンセキ</t>
    </rPh>
    <phoneticPr fontId="1"/>
  </si>
  <si>
    <t>アンケート対応</t>
    <rPh sb="5" eb="7">
      <t>タイオウ</t>
    </rPh>
    <phoneticPr fontId="1"/>
  </si>
  <si>
    <t>パソコンキッティング</t>
  </si>
  <si>
    <t>Wifi設定</t>
    <rPh sb="4" eb="6">
      <t>セッテイ</t>
    </rPh>
    <phoneticPr fontId="1"/>
  </si>
  <si>
    <t>プリンタ対応</t>
    <rPh sb="4" eb="6">
      <t>タイオウ</t>
    </rPh>
    <phoneticPr fontId="1"/>
  </si>
  <si>
    <t>協力会社</t>
    <rPh sb="0" eb="2">
      <t>キョウリョク</t>
    </rPh>
    <rPh sb="2" eb="4">
      <t>カイシャ</t>
    </rPh>
    <phoneticPr fontId="1"/>
  </si>
  <si>
    <t>顧客管理者</t>
    <rPh sb="0" eb="2">
      <t>コキャク</t>
    </rPh>
    <rPh sb="2" eb="5">
      <t>カンリシャ</t>
    </rPh>
    <phoneticPr fontId="1"/>
  </si>
  <si>
    <t>顧客一般利用者</t>
    <rPh sb="0" eb="2">
      <t>コキャク</t>
    </rPh>
    <rPh sb="2" eb="4">
      <t>イッパン</t>
    </rPh>
    <rPh sb="4" eb="7">
      <t>リヨウシャ</t>
    </rPh>
    <phoneticPr fontId="1"/>
  </si>
  <si>
    <t>社内システム担当者</t>
    <rPh sb="0" eb="2">
      <t>シャナイ</t>
    </rPh>
    <rPh sb="6" eb="8">
      <t>タントウ</t>
    </rPh>
    <rPh sb="8" eb="9">
      <t>シャ</t>
    </rPh>
    <phoneticPr fontId="1"/>
  </si>
  <si>
    <t>社内システム利用者</t>
    <rPh sb="0" eb="2">
      <t>シャナイ</t>
    </rPh>
    <rPh sb="6" eb="9">
      <t>リヨウシャ</t>
    </rPh>
    <phoneticPr fontId="1"/>
  </si>
  <si>
    <t>日新上野ビル8階</t>
    <rPh sb="0" eb="2">
      <t>ニッシン</t>
    </rPh>
    <rPh sb="2" eb="4">
      <t>ウエノ</t>
    </rPh>
    <rPh sb="7" eb="8">
      <t>カイ</t>
    </rPh>
    <phoneticPr fontId="1"/>
  </si>
  <si>
    <t>飯田橋DC</t>
    <rPh sb="0" eb="3">
      <t>イイダバシ</t>
    </rPh>
    <phoneticPr fontId="1"/>
  </si>
  <si>
    <t>クラウド環境</t>
    <rPh sb="4" eb="6">
      <t>カンキョウ</t>
    </rPh>
    <phoneticPr fontId="1"/>
  </si>
  <si>
    <t>障害調査・対応</t>
    <rPh sb="0" eb="2">
      <t>ショウガイ</t>
    </rPh>
    <rPh sb="2" eb="4">
      <t>チョウサ</t>
    </rPh>
    <rPh sb="5" eb="7">
      <t>タイオウ</t>
    </rPh>
    <phoneticPr fontId="1"/>
  </si>
  <si>
    <t>顧客から貸与されたPCや、システムはCS側か管理して、システム課がチェックする</t>
    <rPh sb="0" eb="2">
      <t>コキャク</t>
    </rPh>
    <rPh sb="4" eb="6">
      <t>タイヨ</t>
    </rPh>
    <rPh sb="20" eb="21">
      <t>ガワ</t>
    </rPh>
    <rPh sb="22" eb="24">
      <t>カンリ</t>
    </rPh>
    <rPh sb="31" eb="32">
      <t>カ</t>
    </rPh>
    <phoneticPr fontId="1"/>
  </si>
  <si>
    <t>システム課</t>
    <rPh sb="4" eb="5">
      <t>カ</t>
    </rPh>
    <phoneticPr fontId="1"/>
  </si>
  <si>
    <t>CS部</t>
    <rPh sb="2" eb="3">
      <t>ブ</t>
    </rPh>
    <phoneticPr fontId="1"/>
  </si>
  <si>
    <t>顧客が指定したクラウドシステムへ入る場合（社内ネットワークから利用する場合）</t>
    <rPh sb="0" eb="2">
      <t>コキャク</t>
    </rPh>
    <rPh sb="3" eb="5">
      <t>シテイ</t>
    </rPh>
    <rPh sb="16" eb="17">
      <t>ハイ</t>
    </rPh>
    <rPh sb="18" eb="20">
      <t>バアイ</t>
    </rPh>
    <rPh sb="21" eb="23">
      <t>シャナイ</t>
    </rPh>
    <rPh sb="31" eb="33">
      <t>リヨウ</t>
    </rPh>
    <rPh sb="35" eb="37">
      <t>バアイ</t>
    </rPh>
    <phoneticPr fontId="1"/>
  </si>
  <si>
    <t>誰に見せるの？</t>
    <rPh sb="0" eb="1">
      <t>ダレ</t>
    </rPh>
    <rPh sb="2" eb="3">
      <t>ミ</t>
    </rPh>
    <phoneticPr fontId="1"/>
  </si>
  <si>
    <t>社長</t>
    <rPh sb="0" eb="2">
      <t>シャチョウ</t>
    </rPh>
    <phoneticPr fontId="1"/>
  </si>
  <si>
    <t>顧客へ見せる</t>
    <rPh sb="0" eb="2">
      <t>コキャク</t>
    </rPh>
    <rPh sb="3" eb="4">
      <t>ミ</t>
    </rPh>
    <phoneticPr fontId="1"/>
  </si>
  <si>
    <t>社内でも</t>
    <rPh sb="0" eb="2">
      <t>シャナイ</t>
    </rPh>
    <phoneticPr fontId="1"/>
  </si>
  <si>
    <t>まずは</t>
    <phoneticPr fontId="1"/>
  </si>
  <si>
    <t>整備後に公開できたら</t>
    <rPh sb="0" eb="3">
      <t>セイビゴ</t>
    </rPh>
    <rPh sb="4" eb="6">
      <t>コウカイ</t>
    </rPh>
    <phoneticPr fontId="1"/>
  </si>
  <si>
    <t>分類５</t>
    <rPh sb="0" eb="2">
      <t>ブンルイ</t>
    </rPh>
    <phoneticPr fontId="1"/>
  </si>
  <si>
    <t>分類６</t>
    <rPh sb="0" eb="2">
      <t>ブンルイ</t>
    </rPh>
    <phoneticPr fontId="1"/>
  </si>
  <si>
    <t>分類７</t>
    <rPh sb="0" eb="2">
      <t>ブンルイ</t>
    </rPh>
    <phoneticPr fontId="1"/>
  </si>
  <si>
    <t>ハードウエア</t>
  </si>
  <si>
    <t>システム導入</t>
    <rPh sb="4" eb="6">
      <t>ドウニュウ</t>
    </rPh>
    <phoneticPr fontId="1"/>
  </si>
  <si>
    <t>顧客</t>
    <rPh sb="0" eb="2">
      <t>コキャク</t>
    </rPh>
    <phoneticPr fontId="1"/>
  </si>
  <si>
    <t>アカウント・権限</t>
    <rPh sb="6" eb="8">
      <t>ケンゲン</t>
    </rPh>
    <phoneticPr fontId="1"/>
  </si>
  <si>
    <t>アプリケーション</t>
  </si>
  <si>
    <t>アプリケーション</t>
    <phoneticPr fontId="1"/>
  </si>
  <si>
    <t>日本管財</t>
    <rPh sb="0" eb="2">
      <t>ニホン</t>
    </rPh>
    <rPh sb="2" eb="4">
      <t>カンザイ</t>
    </rPh>
    <phoneticPr fontId="1"/>
  </si>
  <si>
    <t>社内</t>
    <rPh sb="0" eb="2">
      <t>シャナイ</t>
    </rPh>
    <phoneticPr fontId="1"/>
  </si>
  <si>
    <t>社内</t>
    <rPh sb="0" eb="2">
      <t>シャナイ</t>
    </rPh>
    <phoneticPr fontId="1"/>
  </si>
  <si>
    <t>分類2
（依頼元）</t>
    <rPh sb="0" eb="2">
      <t>ブンルイ</t>
    </rPh>
    <rPh sb="5" eb="7">
      <t>イライ</t>
    </rPh>
    <rPh sb="7" eb="8">
      <t>モト</t>
    </rPh>
    <phoneticPr fontId="1"/>
  </si>
  <si>
    <t>分類3
（管理元）</t>
    <rPh sb="0" eb="2">
      <t>ブンルイ</t>
    </rPh>
    <rPh sb="5" eb="7">
      <t>カンリ</t>
    </rPh>
    <rPh sb="7" eb="8">
      <t>モト</t>
    </rPh>
    <phoneticPr fontId="1"/>
  </si>
  <si>
    <t>顧客へ提出</t>
    <rPh sb="0" eb="2">
      <t>コキャク</t>
    </rPh>
    <rPh sb="3" eb="5">
      <t>テイシュツ</t>
    </rPh>
    <phoneticPr fontId="1"/>
  </si>
  <si>
    <t>設定・運用</t>
    <rPh sb="0" eb="2">
      <t>セッテイ</t>
    </rPh>
    <rPh sb="3" eb="5">
      <t>ウンヨウ</t>
    </rPh>
    <phoneticPr fontId="1"/>
  </si>
  <si>
    <t>顧客影響</t>
    <rPh sb="0" eb="2">
      <t>コキャク</t>
    </rPh>
    <rPh sb="2" eb="4">
      <t>エイキョウ</t>
    </rPh>
    <phoneticPr fontId="1"/>
  </si>
  <si>
    <t>社内利用</t>
    <rPh sb="0" eb="2">
      <t>シャナイ</t>
    </rPh>
    <rPh sb="2" eb="4">
      <t>リヨウ</t>
    </rPh>
    <phoneticPr fontId="1"/>
  </si>
  <si>
    <t>分類4
（範囲）</t>
    <rPh sb="0" eb="2">
      <t>ブンルイ</t>
    </rPh>
    <rPh sb="5" eb="7">
      <t>ハンイ</t>
    </rPh>
    <phoneticPr fontId="1"/>
  </si>
  <si>
    <t>未使用</t>
    <rPh sb="0" eb="3">
      <t>ミシヨウ</t>
    </rPh>
    <phoneticPr fontId="1"/>
  </si>
  <si>
    <t>サイトアクセス許可</t>
    <rPh sb="7" eb="9">
      <t>キョカ</t>
    </rPh>
    <phoneticPr fontId="1"/>
  </si>
  <si>
    <t>エクセルの作成または改修</t>
    <phoneticPr fontId="3"/>
  </si>
  <si>
    <t>CS</t>
    <phoneticPr fontId="1"/>
  </si>
  <si>
    <t>〇</t>
    <phoneticPr fontId="1"/>
  </si>
  <si>
    <t>導入済アプリのアップデート</t>
    <phoneticPr fontId="1"/>
  </si>
  <si>
    <t>システム（アプリ）導入検討のためのトライアル利用及び権限付与</t>
    <rPh sb="9" eb="11">
      <t>ドウニュウ</t>
    </rPh>
    <rPh sb="11" eb="13">
      <t>ケントウ</t>
    </rPh>
    <rPh sb="22" eb="24">
      <t>リヨウ</t>
    </rPh>
    <rPh sb="24" eb="25">
      <t>オヨ</t>
    </rPh>
    <rPh sb="26" eb="28">
      <t>ケンゲン</t>
    </rPh>
    <rPh sb="28" eb="30">
      <t>フヨ</t>
    </rPh>
    <phoneticPr fontId="1"/>
  </si>
  <si>
    <t>当社のセキュリティに関する事項開示
・セキュリティチェックシート提出</t>
    <rPh sb="32" eb="34">
      <t>テイシュツ</t>
    </rPh>
    <phoneticPr fontId="1"/>
  </si>
  <si>
    <t>委託先管理（定期確認）に関する回答入力依頼
・セキュリティチェックシート入力</t>
    <rPh sb="0" eb="3">
      <t>イタクサキ</t>
    </rPh>
    <rPh sb="3" eb="5">
      <t>カンリ</t>
    </rPh>
    <rPh sb="6" eb="8">
      <t>テイキ</t>
    </rPh>
    <rPh sb="8" eb="10">
      <t>カクニン</t>
    </rPh>
    <rPh sb="12" eb="13">
      <t>カン</t>
    </rPh>
    <rPh sb="15" eb="17">
      <t>カイトウ</t>
    </rPh>
    <rPh sb="17" eb="19">
      <t>ニュウリョク</t>
    </rPh>
    <rPh sb="19" eb="21">
      <t>イライ</t>
    </rPh>
    <rPh sb="36" eb="38">
      <t>ニュウリョク</t>
    </rPh>
    <phoneticPr fontId="1"/>
  </si>
  <si>
    <t>入室権限付与（セキュリティ区域）
・サーバ室
・マイナンバー室</t>
    <rPh sb="13" eb="15">
      <t>クイキ</t>
    </rPh>
    <rPh sb="21" eb="22">
      <t>シツ</t>
    </rPh>
    <rPh sb="30" eb="31">
      <t>シツ</t>
    </rPh>
    <phoneticPr fontId="1"/>
  </si>
  <si>
    <t>携帯電話貸与（役職者）</t>
    <rPh sb="0" eb="2">
      <t>ケイタイ</t>
    </rPh>
    <rPh sb="2" eb="4">
      <t>デンワ</t>
    </rPh>
    <rPh sb="4" eb="6">
      <t>タイヨ</t>
    </rPh>
    <rPh sb="7" eb="10">
      <t>ヤクショクシャ</t>
    </rPh>
    <phoneticPr fontId="1"/>
  </si>
  <si>
    <t>携帯電話貸与（役職者以外）</t>
    <rPh sb="0" eb="2">
      <t>ケイタイ</t>
    </rPh>
    <rPh sb="2" eb="4">
      <t>デンワ</t>
    </rPh>
    <rPh sb="4" eb="6">
      <t>タイヨ</t>
    </rPh>
    <rPh sb="7" eb="10">
      <t>ヤクショクシャ</t>
    </rPh>
    <rPh sb="10" eb="12">
      <t>イガイ</t>
    </rPh>
    <phoneticPr fontId="1"/>
  </si>
  <si>
    <t>携帯電話貸与（顧客貸与）</t>
    <rPh sb="0" eb="2">
      <t>ケイタイ</t>
    </rPh>
    <rPh sb="2" eb="4">
      <t>デンワ</t>
    </rPh>
    <rPh sb="4" eb="6">
      <t>タイヨ</t>
    </rPh>
    <rPh sb="7" eb="9">
      <t>コキャク</t>
    </rPh>
    <rPh sb="9" eb="11">
      <t>タイヨ</t>
    </rPh>
    <phoneticPr fontId="3"/>
  </si>
  <si>
    <t>リモートワーク
・RemoteViewアカウント発行</t>
    <rPh sb="24" eb="26">
      <t>ハッコウ</t>
    </rPh>
    <phoneticPr fontId="1"/>
  </si>
  <si>
    <t>リモートワーク（利用者が外部委託の場合）
・RemoteViewアカウント発行</t>
    <rPh sb="8" eb="11">
      <t>リヨウシャ</t>
    </rPh>
    <rPh sb="12" eb="16">
      <t>ガイブイタク</t>
    </rPh>
    <rPh sb="17" eb="19">
      <t>バアイ</t>
    </rPh>
    <rPh sb="37" eb="39">
      <t>ハッコウ</t>
    </rPh>
    <phoneticPr fontId="1"/>
  </si>
  <si>
    <t>各種システムアカウント管理
・Windowsアカウント
・InCircle
・ICカード（電子錠）
・ICカード（複合機）
・セコム
・Cybermail　　※短期雇用者は要申請
・POSSibility 　 ※短期雇用者は要申請</t>
    <rPh sb="0" eb="2">
      <t>カクシュ</t>
    </rPh>
    <rPh sb="11" eb="13">
      <t>カンリ</t>
    </rPh>
    <rPh sb="80" eb="82">
      <t>タンキ</t>
    </rPh>
    <rPh sb="82" eb="85">
      <t>コヨウシャ</t>
    </rPh>
    <rPh sb="86" eb="87">
      <t>ヨウ</t>
    </rPh>
    <rPh sb="87" eb="89">
      <t>シンセイ</t>
    </rPh>
    <rPh sb="106" eb="108">
      <t>タンキ</t>
    </rPh>
    <rPh sb="108" eb="111">
      <t>コヨウシャ</t>
    </rPh>
    <rPh sb="112" eb="113">
      <t>ヨウ</t>
    </rPh>
    <rPh sb="113" eb="115">
      <t>シンセイ</t>
    </rPh>
    <phoneticPr fontId="1"/>
  </si>
  <si>
    <t xml:space="preserve">各種システムアカウント管理
・MSアカウント </t>
    <phoneticPr fontId="1"/>
  </si>
  <si>
    <t>各種システムアカウント管理（日本管財環境）
・MSアカウント　　※Teams利用時</t>
    <rPh sb="14" eb="18">
      <t>ニホンカンザイ</t>
    </rPh>
    <rPh sb="18" eb="20">
      <t>カンキョウ</t>
    </rPh>
    <rPh sb="38" eb="41">
      <t>リヨウジ</t>
    </rPh>
    <phoneticPr fontId="1"/>
  </si>
  <si>
    <t>OBICアカウント管理</t>
    <rPh sb="9" eb="11">
      <t>カンリ</t>
    </rPh>
    <phoneticPr fontId="1"/>
  </si>
  <si>
    <t>各種システムアクセス権限（通常）
・ファイルサーバ
・OBIC
・Cybermail（エイリアス）</t>
    <rPh sb="13" eb="15">
      <t>ツウジョウ</t>
    </rPh>
    <phoneticPr fontId="1"/>
  </si>
  <si>
    <t>ネットワークの透過設定
・グローバルIP接続に伴うFirewall透過（大塚商会へ依頼）
・サーバ公開設定変更（大塚商会へ依頼）</t>
    <rPh sb="7" eb="9">
      <t>トウカ</t>
    </rPh>
    <rPh sb="9" eb="11">
      <t>セッテイ</t>
    </rPh>
    <rPh sb="33" eb="35">
      <t>トウカ</t>
    </rPh>
    <rPh sb="36" eb="38">
      <t>オオツカ</t>
    </rPh>
    <rPh sb="38" eb="40">
      <t>ショウカイ</t>
    </rPh>
    <rPh sb="41" eb="43">
      <t>イライ</t>
    </rPh>
    <rPh sb="51" eb="53">
      <t>セッテイ</t>
    </rPh>
    <rPh sb="53" eb="55">
      <t>ヘンコウ</t>
    </rPh>
    <rPh sb="56" eb="58">
      <t>オオツカ</t>
    </rPh>
    <rPh sb="58" eb="60">
      <t>ショウカイ</t>
    </rPh>
    <rPh sb="61" eb="63">
      <t>イライ</t>
    </rPh>
    <phoneticPr fontId="1"/>
  </si>
  <si>
    <t>ネットワーク</t>
  </si>
  <si>
    <t>ネットワーク</t>
    <phoneticPr fontId="1"/>
  </si>
  <si>
    <t>VPN回線管理（設置、撤去）</t>
    <rPh sb="3" eb="5">
      <t>カイセン</t>
    </rPh>
    <rPh sb="5" eb="7">
      <t>カンリ</t>
    </rPh>
    <rPh sb="8" eb="10">
      <t>セッチ</t>
    </rPh>
    <rPh sb="11" eb="13">
      <t>テッキョ</t>
    </rPh>
    <phoneticPr fontId="1"/>
  </si>
  <si>
    <t>電子証明書インポート（管理者権限が必要なもの）</t>
    <rPh sb="0" eb="2">
      <t>デンシ</t>
    </rPh>
    <rPh sb="2" eb="5">
      <t>ショウメイショ</t>
    </rPh>
    <rPh sb="11" eb="14">
      <t>カンリシャ</t>
    </rPh>
    <rPh sb="14" eb="16">
      <t>ケンゲン</t>
    </rPh>
    <rPh sb="17" eb="19">
      <t>ヒツヨウ</t>
    </rPh>
    <phoneticPr fontId="1"/>
  </si>
  <si>
    <t>電話</t>
    <rPh sb="0" eb="2">
      <t>デンワ</t>
    </rPh>
    <phoneticPr fontId="1"/>
  </si>
  <si>
    <t xml:space="preserve">オンプレPBX（固定電話）管理
・設置、撤去
・盤面変更
</t>
    <rPh sb="8" eb="10">
      <t>コテイ</t>
    </rPh>
    <rPh sb="10" eb="12">
      <t>デンワ</t>
    </rPh>
    <rPh sb="13" eb="15">
      <t>カンリ</t>
    </rPh>
    <rPh sb="17" eb="19">
      <t>セッチ</t>
    </rPh>
    <rPh sb="20" eb="22">
      <t>テッキョ</t>
    </rPh>
    <rPh sb="24" eb="28">
      <t>バンメンヘンコウ</t>
    </rPh>
    <phoneticPr fontId="1"/>
  </si>
  <si>
    <t>クラウドPBX管理　　※年末調整時のみ
・設置、撤去</t>
    <rPh sb="7" eb="9">
      <t>カンリ</t>
    </rPh>
    <rPh sb="12" eb="14">
      <t>ネンマツ</t>
    </rPh>
    <rPh sb="14" eb="16">
      <t>チョウセイ</t>
    </rPh>
    <rPh sb="16" eb="17">
      <t>ジ</t>
    </rPh>
    <rPh sb="21" eb="23">
      <t>セッチ</t>
    </rPh>
    <rPh sb="24" eb="26">
      <t>テッキョ</t>
    </rPh>
    <phoneticPr fontId="1"/>
  </si>
  <si>
    <t>入社に伴うPC設置</t>
    <rPh sb="0" eb="2">
      <t>ニュウシャ</t>
    </rPh>
    <rPh sb="3" eb="4">
      <t>トモナ</t>
    </rPh>
    <rPh sb="7" eb="9">
      <t>セッチ</t>
    </rPh>
    <phoneticPr fontId="1"/>
  </si>
  <si>
    <t>リモートワークに伴う機器貸与</t>
    <rPh sb="8" eb="9">
      <t>トモナ</t>
    </rPh>
    <rPh sb="10" eb="12">
      <t>キキ</t>
    </rPh>
    <rPh sb="12" eb="14">
      <t>タイヨ</t>
    </rPh>
    <phoneticPr fontId="1"/>
  </si>
  <si>
    <t>〇</t>
  </si>
  <si>
    <t>〇</t>
    <phoneticPr fontId="1"/>
  </si>
  <si>
    <t>エクセルの作成または改修</t>
  </si>
  <si>
    <t>※申請書不要</t>
    <rPh sb="1" eb="3">
      <t>シンセイ</t>
    </rPh>
    <rPh sb="3" eb="4">
      <t>ショ</t>
    </rPh>
    <rPh sb="4" eb="6">
      <t>フヨウ</t>
    </rPh>
    <phoneticPr fontId="1"/>
  </si>
  <si>
    <t>顧客指定システム利用（社内ネットワークから接続する場合）※クラウド</t>
    <rPh sb="0" eb="2">
      <t>コキャク</t>
    </rPh>
    <rPh sb="2" eb="4">
      <t>シテイ</t>
    </rPh>
    <rPh sb="8" eb="10">
      <t>リヨウ</t>
    </rPh>
    <rPh sb="11" eb="13">
      <t>シャナイ</t>
    </rPh>
    <rPh sb="21" eb="23">
      <t>セツゾク</t>
    </rPh>
    <rPh sb="25" eb="27">
      <t>バアイ</t>
    </rPh>
    <phoneticPr fontId="3"/>
  </si>
  <si>
    <t>顧客指定システム利用（社内ネットワークから接続する場合）※アプリインストール</t>
    <rPh sb="0" eb="2">
      <t>コキャク</t>
    </rPh>
    <rPh sb="2" eb="4">
      <t>シテイ</t>
    </rPh>
    <rPh sb="8" eb="10">
      <t>リヨウ</t>
    </rPh>
    <rPh sb="11" eb="13">
      <t>シャナイ</t>
    </rPh>
    <rPh sb="21" eb="23">
      <t>セツゾク</t>
    </rPh>
    <rPh sb="25" eb="27">
      <t>バアイ</t>
    </rPh>
    <phoneticPr fontId="3"/>
  </si>
  <si>
    <t>〇</t>
    <phoneticPr fontId="1"/>
  </si>
  <si>
    <t>権限者</t>
    <rPh sb="0" eb="2">
      <t>ケンゲン</t>
    </rPh>
    <rPh sb="2" eb="3">
      <t>シャ</t>
    </rPh>
    <phoneticPr fontId="1"/>
  </si>
  <si>
    <t>各種システムアクセス権限（管理者権限）
ドメイン
・Cybermail
・LanScope
・i-Filter
・MSアカウント
・データセンター入館</t>
    <rPh sb="13" eb="16">
      <t>カンリシャ</t>
    </rPh>
    <rPh sb="16" eb="18">
      <t>ケンゲン</t>
    </rPh>
    <rPh sb="73" eb="75">
      <t>ニュウカン</t>
    </rPh>
    <phoneticPr fontId="1"/>
  </si>
  <si>
    <t>社内ツール管理（問い合わせアプリ、年調管理アプリ、マイナンバー管理アプリ等）
・権限
・顧客コード発行
・データ更新、データ出力</t>
    <rPh sb="0" eb="2">
      <t>シャナイ</t>
    </rPh>
    <rPh sb="5" eb="7">
      <t>カンリ</t>
    </rPh>
    <rPh sb="17" eb="19">
      <t>ネンチョウ</t>
    </rPh>
    <rPh sb="19" eb="21">
      <t>カンリ</t>
    </rPh>
    <rPh sb="36" eb="37">
      <t>ナド</t>
    </rPh>
    <rPh sb="40" eb="42">
      <t>ケンゲン</t>
    </rPh>
    <rPh sb="49" eb="51">
      <t>ハッコウ</t>
    </rPh>
    <rPh sb="56" eb="58">
      <t>コウシン</t>
    </rPh>
    <rPh sb="62" eb="64">
      <t>シュツリョク</t>
    </rPh>
    <phoneticPr fontId="1"/>
  </si>
  <si>
    <t>InCircleのチャットアンケート設問アップロード</t>
    <rPh sb="18" eb="20">
      <t>セツモン</t>
    </rPh>
    <phoneticPr fontId="1"/>
  </si>
  <si>
    <t>最終承認者</t>
    <rPh sb="0" eb="5">
      <t>サイシュウショウニンシャ</t>
    </rPh>
    <phoneticPr fontId="1"/>
  </si>
  <si>
    <t>OBICアカウント管理（利用者が社外メンバーの場合）※SSSやHT等</t>
    <rPh sb="9" eb="11">
      <t>カンリ</t>
    </rPh>
    <rPh sb="16" eb="18">
      <t>シャガイ</t>
    </rPh>
    <rPh sb="33" eb="34">
      <t>ナド</t>
    </rPh>
    <phoneticPr fontId="1"/>
  </si>
  <si>
    <t>※申請書不要だが、経営管理部への連携は必要</t>
    <rPh sb="1" eb="3">
      <t>シンセイ</t>
    </rPh>
    <rPh sb="3" eb="4">
      <t>ショ</t>
    </rPh>
    <rPh sb="4" eb="6">
      <t>フヨウ</t>
    </rPh>
    <rPh sb="9" eb="14">
      <t>ケイエイカンリブ</t>
    </rPh>
    <rPh sb="16" eb="18">
      <t>レンケイ</t>
    </rPh>
    <rPh sb="19" eb="21">
      <t>ヒツヨウ</t>
    </rPh>
    <phoneticPr fontId="1"/>
  </si>
  <si>
    <t>※申請書不要、CS部内での管理をお願いします。</t>
    <rPh sb="1" eb="3">
      <t>シンセイ</t>
    </rPh>
    <rPh sb="3" eb="4">
      <t>ショ</t>
    </rPh>
    <rPh sb="4" eb="6">
      <t>フヨウ</t>
    </rPh>
    <rPh sb="9" eb="11">
      <t>ブナイ</t>
    </rPh>
    <rPh sb="13" eb="15">
      <t>カンリ</t>
    </rPh>
    <rPh sb="17" eb="18">
      <t>ネガ</t>
    </rPh>
    <phoneticPr fontId="1"/>
  </si>
  <si>
    <t>NeoPortal管理
・領域作成
・システム利用権限
・管理者権限
・通常権限</t>
    <rPh sb="9" eb="11">
      <t>カンリ</t>
    </rPh>
    <rPh sb="13" eb="15">
      <t>リョウイキ</t>
    </rPh>
    <rPh sb="15" eb="17">
      <t>サクセイ</t>
    </rPh>
    <rPh sb="23" eb="27">
      <t>リヨウケンゲン</t>
    </rPh>
    <phoneticPr fontId="1"/>
  </si>
  <si>
    <t>備考</t>
    <rPh sb="0" eb="2">
      <t>ビコウ</t>
    </rPh>
    <phoneticPr fontId="1"/>
  </si>
  <si>
    <t>申請書</t>
    <rPh sb="0" eb="3">
      <t>シンセイショ</t>
    </rPh>
    <phoneticPr fontId="1"/>
  </si>
  <si>
    <t>フォルダ</t>
    <phoneticPr fontId="1"/>
  </si>
  <si>
    <t>日々系_社長承認</t>
    <rPh sb="0" eb="3">
      <t>ヒビケイ</t>
    </rPh>
    <rPh sb="4" eb="8">
      <t>シャチョウショウニン</t>
    </rPh>
    <phoneticPr fontId="1"/>
  </si>
  <si>
    <t>システム開発系</t>
    <rPh sb="4" eb="7">
      <t>カイハツケイ</t>
    </rPh>
    <phoneticPr fontId="1"/>
  </si>
  <si>
    <t>日々系</t>
    <rPh sb="0" eb="3">
      <t>ヒビケイ</t>
    </rPh>
    <phoneticPr fontId="1"/>
  </si>
  <si>
    <t>\\svfl1001\ネオトラスト_ファイルサーバ\部門共通\システム関連\0 作業申請書\</t>
    <phoneticPr fontId="1"/>
  </si>
  <si>
    <t>【試運転中】システム作業申請書_責任者承認まで.xlsx</t>
    <phoneticPr fontId="1"/>
  </si>
  <si>
    <t>分類</t>
    <rPh sb="0" eb="2">
      <t>ブンルイ</t>
    </rPh>
    <phoneticPr fontId="1"/>
  </si>
  <si>
    <t>結合パス</t>
    <rPh sb="0" eb="2">
      <t>ケツゴウ</t>
    </rPh>
    <phoneticPr fontId="1"/>
  </si>
  <si>
    <t>PC故障等に伴う交換</t>
    <rPh sb="2" eb="4">
      <t>コショウ</t>
    </rPh>
    <rPh sb="4" eb="5">
      <t>ナド</t>
    </rPh>
    <rPh sb="6" eb="7">
      <t>トモナ</t>
    </rPh>
    <rPh sb="8" eb="10">
      <t>コウカン</t>
    </rPh>
    <phoneticPr fontId="1"/>
  </si>
  <si>
    <t>※申請書不要</t>
    <rPh sb="1" eb="6">
      <t>シンセイショフヨウ</t>
    </rPh>
    <phoneticPr fontId="1"/>
  </si>
  <si>
    <t>依頼元</t>
    <rPh sb="0" eb="2">
      <t>イライ</t>
    </rPh>
    <rPh sb="2" eb="3">
      <t>モト</t>
    </rPh>
    <phoneticPr fontId="1"/>
  </si>
  <si>
    <t>管理元</t>
    <rPh sb="0" eb="2">
      <t>カンリ</t>
    </rPh>
    <rPh sb="2" eb="3">
      <t>モト</t>
    </rPh>
    <phoneticPr fontId="1"/>
  </si>
  <si>
    <t>影響範囲</t>
    <rPh sb="0" eb="2">
      <t>エイキョウ</t>
    </rPh>
    <rPh sb="2" eb="4">
      <t>ハンイ</t>
    </rPh>
    <phoneticPr fontId="1"/>
  </si>
  <si>
    <t>申請項目</t>
    <rPh sb="0" eb="2">
      <t>シンセイ</t>
    </rPh>
    <rPh sb="2" eb="4">
      <t>コウモク</t>
    </rPh>
    <phoneticPr fontId="1"/>
  </si>
  <si>
    <t>システム開発</t>
    <rPh sb="4" eb="6">
      <t>カイハツ</t>
    </rPh>
    <phoneticPr fontId="1"/>
  </si>
  <si>
    <t>既存システム改修</t>
    <rPh sb="0" eb="2">
      <t>キゾン</t>
    </rPh>
    <rPh sb="6" eb="8">
      <t>カイシュウ</t>
    </rPh>
    <phoneticPr fontId="1"/>
  </si>
  <si>
    <t>エクセルの作成または改修（連携無し） 、エクセルの作成または改修（連携有り）</t>
    <phoneticPr fontId="1"/>
  </si>
  <si>
    <t>システム導入（外部システム・新規アプリケーション）</t>
    <phoneticPr fontId="1"/>
  </si>
  <si>
    <t>システム導入検討のためのトライアル利用及び権限付与</t>
    <phoneticPr fontId="1"/>
  </si>
  <si>
    <t>顧客指定システム利用申請</t>
    <phoneticPr fontId="1"/>
  </si>
  <si>
    <t>セキュリティチェックシート入力依頼</t>
    <phoneticPr fontId="1"/>
  </si>
  <si>
    <t>セキュリティチェックシート提出許可申請</t>
    <phoneticPr fontId="1"/>
  </si>
  <si>
    <t>マイナンバー室への入室権限付与</t>
    <phoneticPr fontId="1"/>
  </si>
  <si>
    <t>アカウント権限　作成・設定・解除</t>
    <phoneticPr fontId="1"/>
  </si>
  <si>
    <t>社外利用者の個人ID発行・システム利用権限付与</t>
    <phoneticPr fontId="1"/>
  </si>
  <si>
    <t>社内システムの管理者権限付与（社内）</t>
    <phoneticPr fontId="1"/>
  </si>
  <si>
    <t>NeoPortalアクセス権限設定・解除　領域作成</t>
    <phoneticPr fontId="1"/>
  </si>
  <si>
    <t>PC/Tel　設置・移動・撤去</t>
    <phoneticPr fontId="1"/>
  </si>
  <si>
    <t>機器貸与</t>
    <phoneticPr fontId="1"/>
  </si>
  <si>
    <t>その他システム関連依頼</t>
    <phoneticPr fontId="1"/>
  </si>
  <si>
    <t>サイトアクセス許可</t>
    <phoneticPr fontId="1"/>
  </si>
  <si>
    <t>回線/回線機器　設置・移動・撤去</t>
    <phoneticPr fontId="1"/>
  </si>
  <si>
    <t>→</t>
    <phoneticPr fontId="1"/>
  </si>
  <si>
    <t>システム作業依頼１シートの　1-2シートを見るべし</t>
    <rPh sb="4" eb="6">
      <t>サギョウ</t>
    </rPh>
    <rPh sb="6" eb="8">
      <t>イライ</t>
    </rPh>
    <rPh sb="21" eb="22">
      <t>ミ</t>
    </rPh>
    <phoneticPr fontId="1"/>
  </si>
  <si>
    <t>重要</t>
    <rPh sb="0" eb="2">
      <t>ジュウヨウ</t>
    </rPh>
    <phoneticPr fontId="1"/>
  </si>
  <si>
    <t>概要</t>
    <rPh sb="0" eb="2">
      <t>ガイヨウ</t>
    </rPh>
    <phoneticPr fontId="1"/>
  </si>
  <si>
    <t xml:space="preserve">エクセルの作成または改修（連携無し） </t>
  </si>
  <si>
    <t>エクセルの作成または改修（連携有り）</t>
    <rPh sb="13" eb="15">
      <t>レンケイ</t>
    </rPh>
    <rPh sb="15" eb="16">
      <t>ア</t>
    </rPh>
    <phoneticPr fontId="1"/>
  </si>
  <si>
    <t>システム導入（外部システム・新規アプリケーション）</t>
    <rPh sb="7" eb="9">
      <t>ガイブ</t>
    </rPh>
    <rPh sb="14" eb="16">
      <t>シンキ</t>
    </rPh>
    <phoneticPr fontId="1"/>
  </si>
  <si>
    <t>システム導入検討のためのトライアル利用及び権限付与</t>
  </si>
  <si>
    <t>その他</t>
    <rPh sb="2" eb="3">
      <t>タ</t>
    </rPh>
    <phoneticPr fontId="1"/>
  </si>
  <si>
    <t>アカウント権限　作成・設定・解除</t>
    <rPh sb="5" eb="7">
      <t>ケンゲン</t>
    </rPh>
    <rPh sb="8" eb="10">
      <t>サクセイ</t>
    </rPh>
    <rPh sb="11" eb="13">
      <t>セッテイ</t>
    </rPh>
    <rPh sb="14" eb="16">
      <t>カイジョ</t>
    </rPh>
    <phoneticPr fontId="3"/>
  </si>
  <si>
    <t>NeoPortal管理</t>
    <rPh sb="9" eb="11">
      <t>カンリ</t>
    </rPh>
    <phoneticPr fontId="3"/>
  </si>
  <si>
    <t>OBIC管理</t>
    <rPh sb="4" eb="6">
      <t>カンリ</t>
    </rPh>
    <phoneticPr fontId="3"/>
  </si>
  <si>
    <t>機器貸与</t>
    <rPh sb="0" eb="2">
      <t>キキ</t>
    </rPh>
    <rPh sb="2" eb="4">
      <t>タイヨ</t>
    </rPh>
    <phoneticPr fontId="3"/>
  </si>
  <si>
    <t>アプリインストール依頼</t>
    <rPh sb="9" eb="11">
      <t>イライ</t>
    </rPh>
    <phoneticPr fontId="3"/>
  </si>
  <si>
    <t>サイトアクセス許可</t>
    <rPh sb="7" eb="9">
      <t>キョカ</t>
    </rPh>
    <phoneticPr fontId="3"/>
  </si>
  <si>
    <t>セキュリティチェックシート入力依頼</t>
    <rPh sb="13" eb="15">
      <t>ニュウリョク</t>
    </rPh>
    <rPh sb="15" eb="17">
      <t>イライ</t>
    </rPh>
    <phoneticPr fontId="3"/>
  </si>
  <si>
    <t>マイナンバー室への入室権限付与</t>
    <phoneticPr fontId="3"/>
  </si>
  <si>
    <t>サーバルーム入室権限付与</t>
    <phoneticPr fontId="3"/>
  </si>
  <si>
    <t>その他システム関連依頼</t>
    <rPh sb="2" eb="3">
      <t>タ</t>
    </rPh>
    <rPh sb="7" eb="9">
      <t>カンレン</t>
    </rPh>
    <rPh sb="9" eb="11">
      <t>イライ</t>
    </rPh>
    <phoneticPr fontId="3"/>
  </si>
  <si>
    <t>顧客指定システム利用申請</t>
    <rPh sb="0" eb="2">
      <t>コキャク</t>
    </rPh>
    <rPh sb="2" eb="4">
      <t>シテイ</t>
    </rPh>
    <rPh sb="8" eb="10">
      <t>リヨウ</t>
    </rPh>
    <rPh sb="10" eb="12">
      <t>シンセイ</t>
    </rPh>
    <phoneticPr fontId="1"/>
  </si>
  <si>
    <t>社外利用者の個人ID発行・システム利用権限付与</t>
    <rPh sb="0" eb="2">
      <t>シャガイ</t>
    </rPh>
    <rPh sb="2" eb="5">
      <t>リヨウシャ</t>
    </rPh>
    <rPh sb="6" eb="8">
      <t>コジン</t>
    </rPh>
    <rPh sb="10" eb="12">
      <t>ハッコウ</t>
    </rPh>
    <rPh sb="17" eb="21">
      <t>リヨウケンゲン</t>
    </rPh>
    <rPh sb="21" eb="23">
      <t>フヨ</t>
    </rPh>
    <phoneticPr fontId="1"/>
  </si>
  <si>
    <t>セキュリティチェックシート提出許可申請</t>
    <rPh sb="13" eb="15">
      <t>テイシュツ</t>
    </rPh>
    <rPh sb="15" eb="17">
      <t>キョカ</t>
    </rPh>
    <rPh sb="17" eb="19">
      <t>シンセイ</t>
    </rPh>
    <phoneticPr fontId="1"/>
  </si>
  <si>
    <t>RemoteViewアカウント発行（外部利用者）</t>
    <rPh sb="15" eb="17">
      <t>ハッコウ</t>
    </rPh>
    <rPh sb="18" eb="23">
      <t>ガイブリヨウシャ</t>
    </rPh>
    <phoneticPr fontId="1"/>
  </si>
  <si>
    <t>OBICアカウント管理（外部利用者）</t>
    <rPh sb="9" eb="11">
      <t>カンリ</t>
    </rPh>
    <rPh sb="12" eb="17">
      <t>ガイブリヨウシャ</t>
    </rPh>
    <phoneticPr fontId="1"/>
  </si>
  <si>
    <t>社内システムの管理者権限付与（社内）</t>
    <rPh sb="0" eb="2">
      <t>シャナイ</t>
    </rPh>
    <rPh sb="7" eb="12">
      <t>カンリシャケンゲン</t>
    </rPh>
    <rPh sb="12" eb="14">
      <t>フヨ</t>
    </rPh>
    <rPh sb="15" eb="17">
      <t>シャナイ</t>
    </rPh>
    <phoneticPr fontId="1"/>
  </si>
  <si>
    <t>シート名</t>
    <rPh sb="3" eb="4">
      <t>メイ</t>
    </rPh>
    <phoneticPr fontId="1"/>
  </si>
  <si>
    <t>申請項目</t>
    <rPh sb="0" eb="2">
      <t>シンセイ</t>
    </rPh>
    <rPh sb="2" eb="4">
      <t>コウモク</t>
    </rPh>
    <phoneticPr fontId="1"/>
  </si>
  <si>
    <t>システム課で開発したシステムの改修対応</t>
    <rPh sb="4" eb="5">
      <t>カ</t>
    </rPh>
    <rPh sb="6" eb="8">
      <t>カイハツ</t>
    </rPh>
    <rPh sb="15" eb="17">
      <t>カイシュウ</t>
    </rPh>
    <rPh sb="17" eb="19">
      <t>タイオウ</t>
    </rPh>
    <phoneticPr fontId="1"/>
  </si>
  <si>
    <t>情報システム承認者：社長</t>
    <rPh sb="0" eb="2">
      <t>ジョウホウ</t>
    </rPh>
    <rPh sb="6" eb="9">
      <t>ショウニンシャ</t>
    </rPh>
    <rPh sb="10" eb="12">
      <t>シャチョウ</t>
    </rPh>
    <phoneticPr fontId="1"/>
  </si>
  <si>
    <t>情報システム権限者：システム課長</t>
    <rPh sb="0" eb="2">
      <t>ジョウホウ</t>
    </rPh>
    <rPh sb="6" eb="9">
      <t>ケンゲンシャ</t>
    </rPh>
    <rPh sb="14" eb="16">
      <t>カチョウ</t>
    </rPh>
    <phoneticPr fontId="1"/>
  </si>
  <si>
    <t>情報システム担当者：システム課員</t>
    <rPh sb="0" eb="2">
      <t>ジョウホウ</t>
    </rPh>
    <rPh sb="6" eb="9">
      <t>タントウシャ</t>
    </rPh>
    <rPh sb="14" eb="15">
      <t>カ</t>
    </rPh>
    <rPh sb="15" eb="16">
      <t>イン</t>
    </rPh>
    <phoneticPr fontId="1"/>
  </si>
  <si>
    <t>書式1-2</t>
    <rPh sb="0" eb="2">
      <t>ショシキ</t>
    </rPh>
    <phoneticPr fontId="1"/>
  </si>
  <si>
    <t>書式1-1_書式1-2_システム開発・改修系_システム作業申請書</t>
    <rPh sb="0" eb="2">
      <t>ショシキ</t>
    </rPh>
    <rPh sb="6" eb="8">
      <t>ショシキ</t>
    </rPh>
    <rPh sb="16" eb="18">
      <t>カイハツ</t>
    </rPh>
    <rPh sb="19" eb="21">
      <t>カイシュウ</t>
    </rPh>
    <rPh sb="21" eb="22">
      <t>ケイ</t>
    </rPh>
    <rPh sb="27" eb="29">
      <t>サギョウ</t>
    </rPh>
    <rPh sb="29" eb="32">
      <t>シンセイショ</t>
    </rPh>
    <phoneticPr fontId="1"/>
  </si>
  <si>
    <t>2025年３月現在の配役</t>
    <rPh sb="4" eb="5">
      <t>ネン</t>
    </rPh>
    <rPh sb="6" eb="7">
      <t>ガツ</t>
    </rPh>
    <rPh sb="7" eb="9">
      <t>ゲンザイ</t>
    </rPh>
    <rPh sb="10" eb="12">
      <t>ハイヤク</t>
    </rPh>
    <phoneticPr fontId="1"/>
  </si>
  <si>
    <t>社内外問わず専門的知識が必要なシステムの開発依頼。※例：NeoPortal</t>
    <rPh sb="0" eb="2">
      <t>シャナイ</t>
    </rPh>
    <rPh sb="2" eb="3">
      <t>ガイ</t>
    </rPh>
    <rPh sb="3" eb="4">
      <t>ト</t>
    </rPh>
    <rPh sb="6" eb="11">
      <t>センモンテキチシキ</t>
    </rPh>
    <rPh sb="12" eb="14">
      <t>ヒツヨウ</t>
    </rPh>
    <rPh sb="20" eb="22">
      <t>カイハツ</t>
    </rPh>
    <rPh sb="22" eb="24">
      <t>イライ</t>
    </rPh>
    <rPh sb="26" eb="27">
      <t>レイ</t>
    </rPh>
    <phoneticPr fontId="1"/>
  </si>
  <si>
    <t>顧客先、もしくは関係部門にデータを提出する為に、マクロや関数を使用し
データを加工するエクセルファイルの作成、又は改修を依頼する申請。</t>
    <rPh sb="0" eb="2">
      <t>コキャク</t>
    </rPh>
    <rPh sb="2" eb="3">
      <t>サキ</t>
    </rPh>
    <rPh sb="8" eb="10">
      <t>カンケイ</t>
    </rPh>
    <rPh sb="10" eb="12">
      <t>ブモン</t>
    </rPh>
    <rPh sb="17" eb="19">
      <t>テイシュツ</t>
    </rPh>
    <rPh sb="21" eb="22">
      <t>タメ</t>
    </rPh>
    <rPh sb="39" eb="41">
      <t>カコウ</t>
    </rPh>
    <phoneticPr fontId="1"/>
  </si>
  <si>
    <t>社内で使用するシステムの導入を依頼する申請。
※導入コストがかかる場合は先に稟議・決裁を申請する。</t>
    <rPh sb="0" eb="2">
      <t>シャナイ</t>
    </rPh>
    <rPh sb="3" eb="5">
      <t>シヨウ</t>
    </rPh>
    <rPh sb="12" eb="14">
      <t>ドウニュウ</t>
    </rPh>
    <rPh sb="15" eb="17">
      <t>イライ</t>
    </rPh>
    <rPh sb="19" eb="21">
      <t>シンセイ</t>
    </rPh>
    <rPh sb="24" eb="26">
      <t>ドウニュウ</t>
    </rPh>
    <rPh sb="33" eb="35">
      <t>バアイ</t>
    </rPh>
    <rPh sb="36" eb="37">
      <t>サキ</t>
    </rPh>
    <rPh sb="38" eb="40">
      <t>リンギ</t>
    </rPh>
    <rPh sb="41" eb="43">
      <t>ケッサイ</t>
    </rPh>
    <rPh sb="44" eb="46">
      <t>シンセイ</t>
    </rPh>
    <phoneticPr fontId="1"/>
  </si>
  <si>
    <t>情報システム管理規程の関連条項</t>
    <rPh sb="0" eb="2">
      <t>ジョウホウ</t>
    </rPh>
    <rPh sb="6" eb="10">
      <t>カンリキテイ</t>
    </rPh>
    <rPh sb="11" eb="13">
      <t>カンレン</t>
    </rPh>
    <rPh sb="13" eb="15">
      <t>ジョウコウ</t>
    </rPh>
    <phoneticPr fontId="1"/>
  </si>
  <si>
    <t>社内で導入を検討しているシステムのトライアル環境を利用申請する。</t>
    <rPh sb="0" eb="2">
      <t>シャナイ</t>
    </rPh>
    <rPh sb="3" eb="5">
      <t>ドウニュウ</t>
    </rPh>
    <rPh sb="6" eb="8">
      <t>ケントウ</t>
    </rPh>
    <rPh sb="22" eb="24">
      <t>カンキョウ</t>
    </rPh>
    <rPh sb="25" eb="27">
      <t>リヨウ</t>
    </rPh>
    <rPh sb="27" eb="29">
      <t>シンセイ</t>
    </rPh>
    <phoneticPr fontId="1"/>
  </si>
  <si>
    <t>前項までの申請項目に当てはまらないものを申請する場合に使用する項目。</t>
    <rPh sb="0" eb="2">
      <t>ゼンコウ</t>
    </rPh>
    <rPh sb="5" eb="9">
      <t>シンセイコウモク</t>
    </rPh>
    <rPh sb="10" eb="11">
      <t>ア</t>
    </rPh>
    <rPh sb="20" eb="22">
      <t>シンセイ</t>
    </rPh>
    <rPh sb="24" eb="26">
      <t>バアイ</t>
    </rPh>
    <rPh sb="27" eb="29">
      <t>シヨウ</t>
    </rPh>
    <rPh sb="31" eb="33">
      <t>コウモク</t>
    </rPh>
    <phoneticPr fontId="1"/>
  </si>
  <si>
    <t>ネオトラスト社員が利用する、アカウントの作成・設定・解除依頼の申請。
例：OBIC7、CyberMail、MicroSoft、Possibility…等</t>
    <rPh sb="6" eb="8">
      <t>シャイン</t>
    </rPh>
    <rPh sb="9" eb="11">
      <t>リヨウ</t>
    </rPh>
    <rPh sb="35" eb="36">
      <t>レイ</t>
    </rPh>
    <rPh sb="75" eb="76">
      <t>ナド</t>
    </rPh>
    <phoneticPr fontId="1"/>
  </si>
  <si>
    <t>顧客領域の作成・削除、顧客アカウントの権限設定変更依頼の申請。</t>
    <rPh sb="0" eb="2">
      <t>コキャク</t>
    </rPh>
    <rPh sb="2" eb="4">
      <t>リョウイキ</t>
    </rPh>
    <rPh sb="5" eb="7">
      <t>サクセイ</t>
    </rPh>
    <rPh sb="8" eb="10">
      <t>サクジョ</t>
    </rPh>
    <rPh sb="11" eb="13">
      <t>コキャク</t>
    </rPh>
    <rPh sb="19" eb="23">
      <t>ケンゲンセッテイ</t>
    </rPh>
    <rPh sb="23" eb="25">
      <t>ヘンコウ</t>
    </rPh>
    <rPh sb="25" eb="27">
      <t>イライ</t>
    </rPh>
    <rPh sb="28" eb="30">
      <t>シンセイ</t>
    </rPh>
    <phoneticPr fontId="1"/>
  </si>
  <si>
    <t>入社予定の方の席にPC、電話機の設置を依頼する申請。</t>
    <rPh sb="0" eb="2">
      <t>ニュウシャ</t>
    </rPh>
    <rPh sb="2" eb="4">
      <t>ヨテイ</t>
    </rPh>
    <rPh sb="5" eb="6">
      <t>カタ</t>
    </rPh>
    <rPh sb="7" eb="8">
      <t>セキ</t>
    </rPh>
    <rPh sb="12" eb="15">
      <t>デンワキ</t>
    </rPh>
    <rPh sb="16" eb="18">
      <t>セッチ</t>
    </rPh>
    <rPh sb="19" eb="21">
      <t>イライ</t>
    </rPh>
    <rPh sb="23" eb="25">
      <t>シンセイ</t>
    </rPh>
    <phoneticPr fontId="1"/>
  </si>
  <si>
    <t>業務端末、リモートワーク用のノートPC</t>
    <rPh sb="0" eb="4">
      <t>ギョウムタンマツ</t>
    </rPh>
    <rPh sb="12" eb="13">
      <t>ヨウ</t>
    </rPh>
    <phoneticPr fontId="1"/>
  </si>
  <si>
    <t>導入済みシステムのアプリをインストールを依頼する申請。</t>
    <rPh sb="0" eb="2">
      <t>ドウニュウ</t>
    </rPh>
    <rPh sb="2" eb="3">
      <t>ズ</t>
    </rPh>
    <rPh sb="20" eb="22">
      <t>イライ</t>
    </rPh>
    <rPh sb="24" eb="26">
      <t>シンセイ</t>
    </rPh>
    <phoneticPr fontId="1"/>
  </si>
  <si>
    <t>顧客回線の設置・移動・撤去の際、申請する。</t>
    <rPh sb="0" eb="2">
      <t>コキャク</t>
    </rPh>
    <rPh sb="2" eb="4">
      <t>カイセン</t>
    </rPh>
    <rPh sb="5" eb="7">
      <t>セッチ</t>
    </rPh>
    <rPh sb="8" eb="10">
      <t>イドウ</t>
    </rPh>
    <rPh sb="11" eb="13">
      <t>テッキョ</t>
    </rPh>
    <rPh sb="14" eb="15">
      <t>サイ</t>
    </rPh>
    <rPh sb="16" eb="18">
      <t>シンセイ</t>
    </rPh>
    <phoneticPr fontId="1"/>
  </si>
  <si>
    <t>i-Filterによりブロックされてアクセス出来ないサイトのアクセス許可を申請。</t>
    <rPh sb="22" eb="24">
      <t>デキ</t>
    </rPh>
    <rPh sb="34" eb="36">
      <t>キョカ</t>
    </rPh>
    <rPh sb="37" eb="39">
      <t>シンセイ</t>
    </rPh>
    <phoneticPr fontId="1"/>
  </si>
  <si>
    <t>定期的に依頼が来るセキュリティチェックシートの入力依頼。
※先方に提出の際は、後述のセキュリティチェックシート提出許可申請も別途必要になる。</t>
    <rPh sb="0" eb="3">
      <t>テイキテキ</t>
    </rPh>
    <rPh sb="4" eb="6">
      <t>イライ</t>
    </rPh>
    <rPh sb="7" eb="8">
      <t>ク</t>
    </rPh>
    <rPh sb="23" eb="25">
      <t>ニュウリョク</t>
    </rPh>
    <rPh sb="25" eb="27">
      <t>イライ</t>
    </rPh>
    <rPh sb="30" eb="32">
      <t>センポウ</t>
    </rPh>
    <rPh sb="33" eb="35">
      <t>テイシュツ</t>
    </rPh>
    <rPh sb="36" eb="37">
      <t>サイ</t>
    </rPh>
    <rPh sb="39" eb="41">
      <t>コウジュツ</t>
    </rPh>
    <rPh sb="62" eb="64">
      <t>ベット</t>
    </rPh>
    <rPh sb="64" eb="66">
      <t>ヒツヨウ</t>
    </rPh>
    <phoneticPr fontId="1"/>
  </si>
  <si>
    <t>マイナンバー室への入室権限付与を申請する。</t>
    <rPh sb="6" eb="7">
      <t>シツ</t>
    </rPh>
    <rPh sb="9" eb="11">
      <t>ニュウシツ</t>
    </rPh>
    <rPh sb="11" eb="13">
      <t>ケンゲン</t>
    </rPh>
    <rPh sb="13" eb="15">
      <t>フヨ</t>
    </rPh>
    <rPh sb="16" eb="18">
      <t>シンセイ</t>
    </rPh>
    <phoneticPr fontId="1"/>
  </si>
  <si>
    <t>サーバルームへの入出権限付与を申請する。</t>
    <rPh sb="8" eb="10">
      <t>ニュウシュツ</t>
    </rPh>
    <rPh sb="10" eb="12">
      <t>ケンゲン</t>
    </rPh>
    <rPh sb="12" eb="14">
      <t>フヨ</t>
    </rPh>
    <rPh sb="15" eb="17">
      <t>シンセイ</t>
    </rPh>
    <phoneticPr fontId="1"/>
  </si>
  <si>
    <t>前項までに申請項目が無い事柄はこの申請項目を使用する。</t>
    <rPh sb="0" eb="2">
      <t>ゼンコウ</t>
    </rPh>
    <rPh sb="5" eb="9">
      <t>シンセイコウモク</t>
    </rPh>
    <rPh sb="10" eb="11">
      <t>ナ</t>
    </rPh>
    <rPh sb="12" eb="14">
      <t>コトガラ</t>
    </rPh>
    <rPh sb="17" eb="19">
      <t>シンセイ</t>
    </rPh>
    <rPh sb="19" eb="21">
      <t>コウモク</t>
    </rPh>
    <rPh sb="22" eb="24">
      <t>シヨウ</t>
    </rPh>
    <phoneticPr fontId="1"/>
  </si>
  <si>
    <t>顧客先のシステム、もしくは顧客から指定されたシステムの利用許可を申請する。</t>
    <rPh sb="0" eb="2">
      <t>コキャク</t>
    </rPh>
    <rPh sb="2" eb="3">
      <t>サキ</t>
    </rPh>
    <rPh sb="13" eb="15">
      <t>コキャク</t>
    </rPh>
    <rPh sb="17" eb="19">
      <t>シテイ</t>
    </rPh>
    <rPh sb="27" eb="29">
      <t>リヨウ</t>
    </rPh>
    <rPh sb="29" eb="31">
      <t>キョカ</t>
    </rPh>
    <rPh sb="32" eb="34">
      <t>シンセイ</t>
    </rPh>
    <phoneticPr fontId="1"/>
  </si>
  <si>
    <t>顧客、もしくは業務提携をしている方が、
ネオトラスト社内のシステムを利用する為のアカウントを発行を申請する。</t>
    <rPh sb="0" eb="2">
      <t>コキャク</t>
    </rPh>
    <rPh sb="7" eb="11">
      <t>ギョウムテイケイ</t>
    </rPh>
    <rPh sb="16" eb="17">
      <t>カタ</t>
    </rPh>
    <rPh sb="26" eb="28">
      <t>シャナイ</t>
    </rPh>
    <rPh sb="34" eb="36">
      <t>リヨウ</t>
    </rPh>
    <rPh sb="38" eb="39">
      <t>タメ</t>
    </rPh>
    <rPh sb="46" eb="48">
      <t>ハッコウ</t>
    </rPh>
    <rPh sb="49" eb="51">
      <t>シンセイ</t>
    </rPh>
    <phoneticPr fontId="1"/>
  </si>
  <si>
    <t>顧客から依頼の来ているセキュリティチェックシート提出の許可申請。</t>
    <rPh sb="0" eb="2">
      <t>コキャク</t>
    </rPh>
    <rPh sb="4" eb="6">
      <t>イライ</t>
    </rPh>
    <rPh sb="7" eb="8">
      <t>キ</t>
    </rPh>
    <rPh sb="24" eb="26">
      <t>テイシュツ</t>
    </rPh>
    <rPh sb="27" eb="29">
      <t>キョカ</t>
    </rPh>
    <rPh sb="29" eb="31">
      <t>シンセイ</t>
    </rPh>
    <phoneticPr fontId="1"/>
  </si>
  <si>
    <t>ネオトラスト社員では無い外部の方にRemoteViewを使用出来るようにする申請。</t>
    <rPh sb="6" eb="8">
      <t>シャイン</t>
    </rPh>
    <rPh sb="10" eb="11">
      <t>ナ</t>
    </rPh>
    <rPh sb="12" eb="14">
      <t>ガイブ</t>
    </rPh>
    <rPh sb="15" eb="16">
      <t>カタ</t>
    </rPh>
    <rPh sb="28" eb="30">
      <t>シヨウ</t>
    </rPh>
    <rPh sb="30" eb="32">
      <t>デキ</t>
    </rPh>
    <rPh sb="38" eb="40">
      <t>シンセイ</t>
    </rPh>
    <phoneticPr fontId="1"/>
  </si>
  <si>
    <t>顧客がネオトラスト環境のOBIC7を使用出来るようにする申請。</t>
    <rPh sb="0" eb="2">
      <t>コキャク</t>
    </rPh>
    <rPh sb="9" eb="11">
      <t>カンキョウ</t>
    </rPh>
    <rPh sb="18" eb="20">
      <t>シヨウ</t>
    </rPh>
    <rPh sb="20" eb="22">
      <t>デキ</t>
    </rPh>
    <rPh sb="28" eb="30">
      <t>シンセイ</t>
    </rPh>
    <phoneticPr fontId="1"/>
  </si>
  <si>
    <t>ネオトラスト社内システムの管理者権限の付与を申請。</t>
    <rPh sb="6" eb="8">
      <t>シャナイ</t>
    </rPh>
    <rPh sb="13" eb="16">
      <t>カンリシャ</t>
    </rPh>
    <rPh sb="16" eb="18">
      <t>ケンゲン</t>
    </rPh>
    <rPh sb="19" eb="21">
      <t>フヨ</t>
    </rPh>
    <rPh sb="22" eb="24">
      <t>シンセイ</t>
    </rPh>
    <phoneticPr fontId="1"/>
  </si>
  <si>
    <t>書式2_日々依頼系_システム作業申請書</t>
    <rPh sb="0" eb="2">
      <t>ショシキ</t>
    </rPh>
    <rPh sb="4" eb="6">
      <t>ヒビ</t>
    </rPh>
    <rPh sb="6" eb="8">
      <t>イライ</t>
    </rPh>
    <rPh sb="8" eb="9">
      <t>ケイ</t>
    </rPh>
    <rPh sb="14" eb="16">
      <t>サギョウ</t>
    </rPh>
    <rPh sb="16" eb="19">
      <t>シンセイショ</t>
    </rPh>
    <phoneticPr fontId="1"/>
  </si>
  <si>
    <t>書式3_システム作業申請書_責任者承認まで</t>
    <rPh sb="0" eb="2">
      <t>ショシキ</t>
    </rPh>
    <rPh sb="8" eb="10">
      <t>サギョウ</t>
    </rPh>
    <rPh sb="10" eb="13">
      <t>シンセイショ</t>
    </rPh>
    <rPh sb="14" eb="17">
      <t>セキニンシャ</t>
    </rPh>
    <rPh sb="17" eb="19">
      <t>ショウニン</t>
    </rPh>
    <phoneticPr fontId="1"/>
  </si>
  <si>
    <t>書式２</t>
    <rPh sb="0" eb="2">
      <t>ショシキ</t>
    </rPh>
    <phoneticPr fontId="1"/>
  </si>
  <si>
    <t>書式3</t>
    <rPh sb="0" eb="2">
      <t>ショシキ</t>
    </rPh>
    <phoneticPr fontId="1"/>
  </si>
  <si>
    <t>その他</t>
    <rPh sb="2" eb="3">
      <t>タ</t>
    </rPh>
    <phoneticPr fontId="1"/>
  </si>
  <si>
    <t>部門内で完結する、マクロを使用するエクセルファイルの作成、又は改修を依頼する申請。</t>
    <rPh sb="0" eb="2">
      <t>ブモン</t>
    </rPh>
    <rPh sb="2" eb="3">
      <t>ナイ</t>
    </rPh>
    <rPh sb="4" eb="6">
      <t>カンケツ</t>
    </rPh>
    <rPh sb="13" eb="15">
      <t>シヨウ</t>
    </rPh>
    <rPh sb="26" eb="28">
      <t>サクセイ</t>
    </rPh>
    <rPh sb="29" eb="30">
      <t>マタ</t>
    </rPh>
    <rPh sb="31" eb="33">
      <t>カイシュウ</t>
    </rPh>
    <rPh sb="34" eb="36">
      <t>イライ</t>
    </rPh>
    <rPh sb="38" eb="40">
      <t>シンセイ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</si>
</sst>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charset val="128"/>
      <scheme val="minor"/>
    </font>
    <font>
      <sz val="6"/>
      <name val="游ゴシック"/>
      <family val="2"/>
      <charset val="128"/>
      <scheme val="minor"/>
    </font>
    <font>
      <sz val="10"/>
      <name val="Meiryo UI"/>
      <family val="3"/>
      <charset val="128"/>
    </font>
    <font>
      <sz val="6"/>
      <name val="ＭＳ Ｐゴシック"/>
      <family val="3"/>
      <charset val="128"/>
    </font>
    <font>
      <b/>
      <sz val="11"/>
      <color theme="1"/>
      <name val="游ゴシック"/>
      <family val="3"/>
      <charset val="128"/>
      <scheme val="minor"/>
    </font>
    <font>
      <b/>
      <sz val="11"/>
      <color theme="1"/>
      <name val="游ゴシック"/>
      <family val="2"/>
      <charset val="128"/>
      <scheme val="minor"/>
    </font>
    <font>
      <b/>
      <sz val="11"/>
      <color rgb="FF000000"/>
      <name val="游ゴシック"/>
      <family val="3"/>
      <charset val="128"/>
      <scheme val="minor"/>
    </font>
    <font>
      <b/>
      <sz val="11"/>
      <color rgb="FFFF0000"/>
      <name val="游ゴシック"/>
      <family val="3"/>
      <charset val="128"/>
      <scheme val="minor"/>
    </font>
    <font>
      <b/>
      <sz val="11"/>
      <color rgb="FF000000"/>
      <name val="Calibri"/>
      <family val="2"/>
    </font>
    <font>
      <b/>
      <sz val="14"/>
      <color rgb="FF000000"/>
      <name val="游ゴシック"/>
      <family val="3"/>
      <charset val="128"/>
      <scheme val="minor"/>
    </font>
    <font>
      <b/>
      <sz val="11"/>
      <name val="游ゴシック"/>
      <family val="3"/>
      <charset val="128"/>
      <scheme val="minor"/>
    </font>
    <font>
      <b/>
      <sz val="11"/>
      <color rgb="FFFF0000"/>
      <name val="游ゴシック"/>
      <family val="2"/>
      <charset val="128"/>
      <scheme val="minor"/>
    </font>
    <font>
      <sz val="11"/>
      <color rgb="FF006100"/>
      <name val="游ゴシック"/>
      <family val="2"/>
      <charset val="128"/>
      <scheme val="minor"/>
    </font>
    <font>
      <sz val="12"/>
      <color theme="1"/>
      <name val="メイリオ"/>
      <family val="3"/>
      <charset val="128"/>
    </font>
    <font>
      <sz val="12"/>
      <color rgb="FF006100"/>
      <name val="メイリオ"/>
      <family val="3"/>
      <charset val="128"/>
    </font>
    <font>
      <sz val="12"/>
      <color rgb="FF000000"/>
      <name val="メイリオ"/>
      <family val="3"/>
      <charset val="128"/>
    </font>
    <font>
      <sz val="12"/>
      <name val="メイリオ"/>
      <family val="3"/>
      <charset val="128"/>
    </font>
    <font>
      <sz val="14"/>
      <color rgb="FF006100"/>
      <name val="游ゴシック"/>
      <family val="3"/>
      <charset val="128"/>
      <scheme val="minor"/>
    </font>
    <font>
      <u/>
      <sz val="11"/>
      <color theme="10"/>
      <name val="游ゴシック"/>
      <family val="2"/>
      <charset val="128"/>
      <scheme val="minor"/>
    </font>
    <font>
      <b/>
      <sz val="12"/>
      <color rgb="FF00B0F0"/>
      <name val="メイリオ"/>
      <family val="3"/>
      <charset val="128"/>
    </font>
    <font>
      <b/>
      <u/>
      <sz val="12"/>
      <color theme="10"/>
      <name val="游ゴシック"/>
      <family val="3"/>
      <charset val="128"/>
      <scheme val="minor"/>
    </font>
    <font>
      <b/>
      <u/>
      <sz val="16"/>
      <color theme="10"/>
      <name val="游ゴシック"/>
      <family val="3"/>
      <charset val="128"/>
      <scheme val="minor"/>
    </font>
  </fonts>
  <fills count="9">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C6EFCE"/>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8"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s>
  <cellStyleXfs count="3">
    <xf numFmtId="0" fontId="0" fillId="0" borderId="0">
      <alignment vertical="center"/>
    </xf>
    <xf numFmtId="0" fontId="12" fillId="4" borderId="0" applyNumberFormat="0" applyBorder="0" applyAlignment="0" applyProtection="0">
      <alignment vertical="center"/>
    </xf>
    <xf numFmtId="0" fontId="18" fillId="0" borderId="0" applyNumberFormat="0" applyFill="0" applyBorder="0" applyAlignment="0" applyProtection="0">
      <alignment vertical="center"/>
    </xf>
  </cellStyleXfs>
  <cellXfs count="112">
    <xf numFmtId="0" fontId="0" fillId="0" borderId="0" xfId="0">
      <alignment vertical="center"/>
    </xf>
    <xf numFmtId="0" fontId="2" fillId="2" borderId="0" xfId="0" applyFont="1" applyFill="1" applyAlignment="1"/>
    <xf numFmtId="0" fontId="2" fillId="0" borderId="0" xfId="0" applyFont="1" applyAlignment="1"/>
    <xf numFmtId="0" fontId="4" fillId="0" borderId="0" xfId="0" applyFont="1">
      <alignment vertical="center"/>
    </xf>
    <xf numFmtId="0" fontId="6" fillId="0" borderId="2" xfId="0" applyFont="1" applyBorder="1">
      <alignment vertical="center"/>
    </xf>
    <xf numFmtId="0" fontId="5" fillId="0" borderId="3" xfId="0" applyFont="1" applyBorder="1">
      <alignment vertical="center"/>
    </xf>
    <xf numFmtId="0" fontId="6" fillId="0" borderId="3" xfId="0" applyFont="1" applyBorder="1">
      <alignment vertical="center"/>
    </xf>
    <xf numFmtId="0" fontId="5" fillId="0" borderId="4" xfId="0" applyFont="1" applyBorder="1">
      <alignment vertical="center"/>
    </xf>
    <xf numFmtId="0" fontId="6" fillId="0" borderId="4" xfId="0" applyFont="1" applyBorder="1">
      <alignment vertical="center"/>
    </xf>
    <xf numFmtId="0" fontId="7" fillId="0" borderId="3" xfId="0" applyFont="1" applyBorder="1" applyAlignment="1">
      <alignment horizontal="left" vertical="top"/>
    </xf>
    <xf numFmtId="0" fontId="5" fillId="0" borderId="0" xfId="0" applyFont="1">
      <alignment vertical="center"/>
    </xf>
    <xf numFmtId="0" fontId="6" fillId="0" borderId="0" xfId="0" applyFont="1">
      <alignment vertical="center"/>
    </xf>
    <xf numFmtId="0" fontId="7" fillId="0" borderId="0" xfId="0" applyFont="1" applyAlignment="1">
      <alignment horizontal="left" vertical="top"/>
    </xf>
    <xf numFmtId="0" fontId="10" fillId="0" borderId="3" xfId="0" applyFont="1" applyBorder="1" applyAlignment="1">
      <alignment horizontal="left" vertical="top"/>
    </xf>
    <xf numFmtId="0" fontId="4" fillId="2" borderId="7" xfId="0" applyFont="1" applyFill="1" applyBorder="1" applyAlignment="1">
      <alignment horizontal="center" vertical="center"/>
    </xf>
    <xf numFmtId="0" fontId="4" fillId="0" borderId="1" xfId="0" applyFont="1" applyBorder="1" applyAlignment="1">
      <alignment horizontal="left" vertical="center"/>
    </xf>
    <xf numFmtId="0" fontId="4" fillId="0" borderId="13" xfId="0" applyFont="1" applyBorder="1" applyAlignment="1">
      <alignment horizontal="left" vertical="center"/>
    </xf>
    <xf numFmtId="0" fontId="4" fillId="0" borderId="13" xfId="0" applyFont="1" applyBorder="1" applyAlignment="1">
      <alignment horizontal="left" vertical="center" wrapText="1"/>
    </xf>
    <xf numFmtId="0" fontId="0" fillId="0" borderId="3" xfId="0" applyBorder="1">
      <alignment vertical="center"/>
    </xf>
    <xf numFmtId="0" fontId="4" fillId="0" borderId="3" xfId="0" applyFont="1" applyBorder="1">
      <alignment vertical="center"/>
    </xf>
    <xf numFmtId="0" fontId="4" fillId="0" borderId="4" xfId="0" applyFont="1" applyBorder="1">
      <alignment vertical="center"/>
    </xf>
    <xf numFmtId="0" fontId="4" fillId="0" borderId="15" xfId="0" applyFont="1" applyBorder="1">
      <alignment vertical="center"/>
    </xf>
    <xf numFmtId="0" fontId="6" fillId="0" borderId="15" xfId="0" applyFont="1" applyBorder="1">
      <alignment vertical="center"/>
    </xf>
    <xf numFmtId="0" fontId="5" fillId="0" borderId="8" xfId="0" applyFont="1" applyBorder="1">
      <alignment vertical="center"/>
    </xf>
    <xf numFmtId="0" fontId="5" fillId="0" borderId="15" xfId="0" applyFont="1" applyBorder="1">
      <alignment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4" fillId="2" borderId="1" xfId="0" applyFont="1" applyFill="1" applyBorder="1" applyAlignment="1">
      <alignment horizontal="center" vertical="center"/>
    </xf>
    <xf numFmtId="0" fontId="6" fillId="3" borderId="3" xfId="0" applyFont="1" applyFill="1" applyBorder="1">
      <alignment vertical="center"/>
    </xf>
    <xf numFmtId="0" fontId="5" fillId="3" borderId="0" xfId="0" applyFont="1" applyFill="1">
      <alignment vertical="center"/>
    </xf>
    <xf numFmtId="0" fontId="4" fillId="0" borderId="10" xfId="0" applyFont="1" applyBorder="1" applyAlignment="1">
      <alignment horizontal="left" vertical="center"/>
    </xf>
    <xf numFmtId="0" fontId="9" fillId="0" borderId="0" xfId="0" applyFont="1">
      <alignment vertical="center"/>
    </xf>
    <xf numFmtId="0" fontId="5" fillId="0" borderId="9" xfId="0" applyFont="1" applyBorder="1">
      <alignment vertical="center"/>
    </xf>
    <xf numFmtId="0" fontId="5" fillId="0" borderId="11" xfId="0" applyFont="1" applyBorder="1">
      <alignment vertical="center"/>
    </xf>
    <xf numFmtId="0" fontId="6" fillId="0" borderId="16" xfId="0" applyFont="1" applyBorder="1">
      <alignment vertical="center"/>
    </xf>
    <xf numFmtId="0" fontId="13" fillId="0" borderId="0" xfId="0" applyFont="1">
      <alignment vertical="center"/>
    </xf>
    <xf numFmtId="0" fontId="13" fillId="0" borderId="0" xfId="0" applyFont="1" applyAlignment="1">
      <alignment horizontal="center" vertical="center"/>
    </xf>
    <xf numFmtId="0" fontId="15" fillId="0" borderId="0" xfId="0" applyFont="1">
      <alignment vertical="center"/>
    </xf>
    <xf numFmtId="0" fontId="14" fillId="4" borderId="1" xfId="1" applyFont="1" applyBorder="1" applyAlignment="1">
      <alignment horizontal="center" vertical="center"/>
    </xf>
    <xf numFmtId="0" fontId="14" fillId="4" borderId="1" xfId="1" applyFont="1" applyBorder="1" applyAlignment="1">
      <alignment horizontal="center" vertical="center" wrapText="1"/>
    </xf>
    <xf numFmtId="0" fontId="14" fillId="5" borderId="0" xfId="1" applyFont="1" applyFill="1">
      <alignment vertical="center"/>
    </xf>
    <xf numFmtId="0" fontId="13" fillId="5" borderId="0" xfId="0" applyFont="1" applyFill="1">
      <alignment vertical="center"/>
    </xf>
    <xf numFmtId="0" fontId="13" fillId="5" borderId="0" xfId="0" applyFont="1" applyFill="1" applyAlignment="1">
      <alignment horizontal="left" vertical="center"/>
    </xf>
    <xf numFmtId="0" fontId="14" fillId="4" borderId="21" xfId="1" applyFont="1" applyBorder="1" applyAlignment="1">
      <alignment horizontal="center" vertical="center"/>
    </xf>
    <xf numFmtId="0" fontId="14" fillId="4" borderId="22" xfId="1" applyFont="1" applyBorder="1" applyAlignment="1">
      <alignment horizontal="center" vertical="center"/>
    </xf>
    <xf numFmtId="0" fontId="14" fillId="4" borderId="23" xfId="1" applyFont="1" applyBorder="1" applyAlignment="1">
      <alignment horizontal="center" vertical="center"/>
    </xf>
    <xf numFmtId="0" fontId="16" fillId="0" borderId="0" xfId="0" applyFont="1" applyAlignment="1">
      <alignment wrapText="1"/>
    </xf>
    <xf numFmtId="0" fontId="13" fillId="0" borderId="20" xfId="0" applyFont="1" applyBorder="1" applyAlignment="1">
      <alignment horizontal="center" vertical="center"/>
    </xf>
    <xf numFmtId="0" fontId="13" fillId="0" borderId="20" xfId="0" applyFont="1" applyBorder="1">
      <alignment vertical="center"/>
    </xf>
    <xf numFmtId="0" fontId="16" fillId="0" borderId="20" xfId="0" applyFont="1" applyBorder="1" applyAlignment="1"/>
    <xf numFmtId="0" fontId="13" fillId="0" borderId="24" xfId="0" applyFont="1" applyBorder="1" applyAlignment="1">
      <alignment horizontal="center" vertical="center"/>
    </xf>
    <xf numFmtId="0" fontId="13" fillId="0" borderId="24" xfId="0" applyFont="1" applyBorder="1">
      <alignment vertical="center"/>
    </xf>
    <xf numFmtId="0" fontId="16" fillId="0" borderId="24" xfId="0" applyFont="1" applyBorder="1" applyAlignment="1"/>
    <xf numFmtId="0" fontId="13" fillId="0" borderId="24" xfId="0" applyFont="1" applyBorder="1" applyAlignment="1">
      <alignment horizontal="left" vertical="center"/>
    </xf>
    <xf numFmtId="0" fontId="13" fillId="0" borderId="24" xfId="0" applyFont="1" applyBorder="1" applyAlignment="1">
      <alignment vertical="top" wrapText="1"/>
    </xf>
    <xf numFmtId="0" fontId="16" fillId="0" borderId="24" xfId="0" applyFont="1" applyBorder="1" applyAlignment="1">
      <alignment wrapText="1"/>
    </xf>
    <xf numFmtId="0" fontId="16" fillId="0" borderId="24" xfId="0" applyFont="1" applyBorder="1" applyAlignment="1">
      <alignment horizontal="center" vertical="center"/>
    </xf>
    <xf numFmtId="0" fontId="16" fillId="0" borderId="24" xfId="0" applyFont="1" applyBorder="1" applyAlignment="1">
      <alignment vertical="top" wrapText="1"/>
    </xf>
    <xf numFmtId="0" fontId="13" fillId="0" borderId="24" xfId="0" applyFont="1" applyBorder="1" applyAlignment="1">
      <alignment vertical="center" wrapText="1"/>
    </xf>
    <xf numFmtId="0" fontId="13" fillId="0" borderId="25" xfId="0" applyFont="1" applyBorder="1" applyAlignment="1">
      <alignment horizontal="center" vertical="center"/>
    </xf>
    <xf numFmtId="0" fontId="13" fillId="0" borderId="25" xfId="0" applyFont="1" applyBorder="1">
      <alignment vertical="center"/>
    </xf>
    <xf numFmtId="0" fontId="16" fillId="0" borderId="25" xfId="0" applyFont="1" applyBorder="1" applyAlignment="1">
      <alignment vertical="top" wrapText="1"/>
    </xf>
    <xf numFmtId="0" fontId="13" fillId="0" borderId="25" xfId="0" applyFont="1" applyBorder="1" applyAlignment="1">
      <alignment horizontal="left" vertical="center"/>
    </xf>
    <xf numFmtId="0" fontId="18" fillId="0" borderId="24" xfId="2" applyBorder="1">
      <alignment vertical="center"/>
    </xf>
    <xf numFmtId="0" fontId="4" fillId="6" borderId="0" xfId="0" applyFont="1" applyFill="1" applyAlignment="1">
      <alignment horizontal="center" vertical="center"/>
    </xf>
    <xf numFmtId="0" fontId="18" fillId="7" borderId="24" xfId="2" applyFill="1" applyBorder="1">
      <alignment vertical="center"/>
    </xf>
    <xf numFmtId="0" fontId="18" fillId="0" borderId="24" xfId="2" applyFill="1" applyBorder="1">
      <alignment vertical="center"/>
    </xf>
    <xf numFmtId="0" fontId="13" fillId="7" borderId="25" xfId="0" applyFont="1" applyFill="1" applyBorder="1">
      <alignment vertical="center"/>
    </xf>
    <xf numFmtId="0" fontId="13" fillId="7" borderId="24" xfId="0" applyFont="1" applyFill="1" applyBorder="1">
      <alignment vertical="center"/>
    </xf>
    <xf numFmtId="0" fontId="19" fillId="0" borderId="24" xfId="0" applyFont="1" applyBorder="1">
      <alignment vertical="center"/>
    </xf>
    <xf numFmtId="0" fontId="2" fillId="0" borderId="0" xfId="0" applyFont="1">
      <alignment vertical="center"/>
    </xf>
    <xf numFmtId="0" fontId="0" fillId="0" borderId="13" xfId="0" applyBorder="1">
      <alignment vertical="center"/>
    </xf>
    <xf numFmtId="0" fontId="0" fillId="0" borderId="12" xfId="0" applyBorder="1">
      <alignment vertical="center"/>
    </xf>
    <xf numFmtId="0" fontId="0" fillId="8" borderId="14" xfId="0" applyFill="1" applyBorder="1">
      <alignment vertical="center"/>
    </xf>
    <xf numFmtId="0" fontId="0" fillId="8" borderId="1" xfId="0" applyFill="1" applyBorder="1" applyAlignment="1">
      <alignment horizontal="center" vertical="center"/>
    </xf>
    <xf numFmtId="0" fontId="20" fillId="0" borderId="0" xfId="2" applyFont="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0" fillId="0" borderId="26" xfId="0" applyBorder="1" applyAlignment="1">
      <alignment vertical="center" wrapText="1"/>
    </xf>
    <xf numFmtId="0" fontId="2" fillId="0" borderId="27" xfId="0" applyFont="1" applyBorder="1">
      <alignment vertical="center"/>
    </xf>
    <xf numFmtId="0" fontId="2" fillId="0" borderId="27" xfId="0" applyFont="1" applyBorder="1" applyAlignment="1"/>
    <xf numFmtId="0" fontId="21" fillId="0" borderId="0" xfId="2" applyFont="1">
      <alignment vertical="center"/>
    </xf>
    <xf numFmtId="0" fontId="17" fillId="4" borderId="14" xfId="1" applyFont="1" applyBorder="1" applyAlignment="1">
      <alignment horizontal="center" vertical="center"/>
    </xf>
    <xf numFmtId="0" fontId="17" fillId="4" borderId="12" xfId="1" applyFont="1" applyBorder="1" applyAlignment="1">
      <alignment horizontal="center" vertical="center"/>
    </xf>
    <xf numFmtId="0" fontId="17" fillId="4" borderId="2" xfId="1" applyFont="1" applyBorder="1" applyAlignment="1">
      <alignment horizontal="center" vertical="center"/>
    </xf>
    <xf numFmtId="0" fontId="17" fillId="4" borderId="4" xfId="1" applyFont="1" applyBorder="1" applyAlignment="1">
      <alignment horizontal="center" vertical="center"/>
    </xf>
    <xf numFmtId="0" fontId="17" fillId="4" borderId="20" xfId="1" applyFont="1" applyBorder="1" applyAlignment="1">
      <alignment horizontal="center" vertical="center"/>
    </xf>
    <xf numFmtId="0" fontId="12" fillId="4" borderId="1" xfId="1" applyBorder="1" applyAlignment="1">
      <alignment horizontal="center" vertical="center"/>
    </xf>
    <xf numFmtId="0" fontId="14" fillId="4" borderId="1" xfId="1" applyFont="1" applyBorder="1" applyAlignment="1">
      <alignment horizontal="center" vertical="center"/>
    </xf>
    <xf numFmtId="0" fontId="14" fillId="4" borderId="1" xfId="1" applyFont="1" applyBorder="1" applyAlignment="1">
      <alignment horizontal="center" vertical="center" wrapText="1"/>
    </xf>
    <xf numFmtId="0" fontId="4" fillId="0" borderId="14" xfId="0" applyFont="1" applyBorder="1" applyAlignment="1">
      <alignment horizontal="left" vertical="center"/>
    </xf>
    <xf numFmtId="0" fontId="4" fillId="0" borderId="13" xfId="0" applyFont="1" applyBorder="1" applyAlignment="1">
      <alignment horizontal="left" vertical="center"/>
    </xf>
    <xf numFmtId="0" fontId="4" fillId="0" borderId="12" xfId="0" applyFont="1" applyBorder="1" applyAlignment="1">
      <alignment horizontal="left" vertical="center"/>
    </xf>
    <xf numFmtId="0" fontId="4" fillId="2" borderId="7" xfId="0" applyFont="1" applyFill="1" applyBorder="1" applyAlignment="1">
      <alignment horizontal="center" vertical="center"/>
    </xf>
    <xf numFmtId="0" fontId="4" fillId="2" borderId="17" xfId="0" applyFont="1" applyFill="1" applyBorder="1" applyAlignment="1">
      <alignment horizontal="center" vertical="center"/>
    </xf>
    <xf numFmtId="0" fontId="11" fillId="0" borderId="2" xfId="0" applyFont="1" applyBorder="1" applyAlignment="1">
      <alignment horizontal="left" vertical="top" wrapText="1"/>
    </xf>
    <xf numFmtId="0" fontId="7" fillId="0" borderId="8" xfId="0" applyFont="1" applyBorder="1" applyAlignment="1">
      <alignment horizontal="left" vertical="top"/>
    </xf>
    <xf numFmtId="0" fontId="7" fillId="0" borderId="3" xfId="0" applyFont="1" applyBorder="1" applyAlignment="1">
      <alignment horizontal="left" vertical="top"/>
    </xf>
    <xf numFmtId="0" fontId="7" fillId="0" borderId="0" xfId="0" applyFont="1" applyAlignment="1">
      <alignment horizontal="left" vertical="top"/>
    </xf>
    <xf numFmtId="0" fontId="7" fillId="0" borderId="4" xfId="0" applyFont="1" applyBorder="1" applyAlignment="1">
      <alignment horizontal="left" vertical="top"/>
    </xf>
    <xf numFmtId="0" fontId="7" fillId="0" borderId="15" xfId="0" applyFont="1" applyBorder="1" applyAlignment="1">
      <alignment horizontal="left" vertical="top"/>
    </xf>
    <xf numFmtId="0" fontId="6" fillId="0" borderId="3" xfId="0" applyFont="1" applyBorder="1" applyAlignment="1">
      <alignment horizontal="left" vertical="top" wrapText="1"/>
    </xf>
    <xf numFmtId="0" fontId="6" fillId="0" borderId="11" xfId="0" applyFont="1" applyBorder="1" applyAlignment="1">
      <alignment horizontal="left" vertical="top" wrapText="1"/>
    </xf>
    <xf numFmtId="0" fontId="6" fillId="0" borderId="5" xfId="0" applyFont="1" applyBorder="1" applyAlignment="1">
      <alignment horizontal="left" vertical="top" wrapText="1"/>
    </xf>
    <xf numFmtId="0" fontId="6" fillId="0" borderId="18" xfId="0" applyFont="1" applyBorder="1" applyAlignment="1">
      <alignment horizontal="left" vertical="top"/>
    </xf>
    <xf numFmtId="0" fontId="5" fillId="0" borderId="6" xfId="0" applyFont="1" applyBorder="1" applyAlignment="1">
      <alignment horizontal="left" vertical="top"/>
    </xf>
    <xf numFmtId="0" fontId="5" fillId="0" borderId="19" xfId="0" applyFont="1" applyBorder="1" applyAlignment="1">
      <alignment horizontal="left" vertical="top"/>
    </xf>
  </cellXfs>
  <cellStyles count="3">
    <cellStyle name="ハイパーリンク" xfId="2" builtinId="8"/>
    <cellStyle name="標準" xfId="0" builtinId="0"/>
    <cellStyle name="良い" xfId="1" builtinId="26"/>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1276350</xdr:colOff>
      <xdr:row>18</xdr:row>
      <xdr:rowOff>104775</xdr:rowOff>
    </xdr:from>
    <xdr:to>
      <xdr:col>5</xdr:col>
      <xdr:colOff>552450</xdr:colOff>
      <xdr:row>23</xdr:row>
      <xdr:rowOff>85725</xdr:rowOff>
    </xdr:to>
    <xdr:sp macro="" textlink="">
      <xdr:nvSpPr>
        <xdr:cNvPr id="2" name="テキスト ボックス 1">
          <a:extLst>
            <a:ext uri="{FF2B5EF4-FFF2-40B4-BE49-F238E27FC236}">
              <a16:creationId xmlns:a16="http://schemas.microsoft.com/office/drawing/2014/main" id="{F521EEEB-FE60-6D8D-C2BF-2B0730A94DB0}"/>
            </a:ext>
          </a:extLst>
        </xdr:cNvPr>
        <xdr:cNvSpPr txBox="1"/>
      </xdr:nvSpPr>
      <xdr:spPr>
        <a:xfrm>
          <a:off x="1276350" y="4391025"/>
          <a:ext cx="8801100" cy="1171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t>Z:\</a:t>
          </a:r>
          <a:r>
            <a:rPr kumimoji="1" lang="ja-JP" altLang="en-US" sz="1100" kern="1200"/>
            <a:t>経営管理部</a:t>
          </a:r>
          <a:r>
            <a:rPr kumimoji="1" lang="en-US" altLang="ja-JP" sz="1100" kern="1200"/>
            <a:t>\</a:t>
          </a:r>
          <a:r>
            <a:rPr kumimoji="1" lang="ja-JP" altLang="en-US" sz="1100" kern="1200"/>
            <a:t>管理課</a:t>
          </a:r>
          <a:r>
            <a:rPr kumimoji="1" lang="en-US" altLang="ja-JP" sz="1100" kern="1200"/>
            <a:t>\</a:t>
          </a:r>
          <a:r>
            <a:rPr kumimoji="1" lang="ja-JP" altLang="en-US" sz="1100" kern="1200"/>
            <a:t>システム</a:t>
          </a:r>
          <a:r>
            <a:rPr kumimoji="1" lang="en-US" altLang="ja-JP" sz="1100" kern="1200"/>
            <a:t>\【</a:t>
          </a:r>
          <a:r>
            <a:rPr kumimoji="1" lang="ja-JP" altLang="en-US" sz="1100" kern="1200"/>
            <a:t>改定</a:t>
          </a:r>
          <a:r>
            <a:rPr kumimoji="1" lang="en-US" altLang="ja-JP" sz="1100" kern="1200"/>
            <a:t>】</a:t>
          </a:r>
          <a:r>
            <a:rPr kumimoji="1" lang="ja-JP" altLang="en-US" sz="1100" kern="1200"/>
            <a:t>システム作業依頼</a:t>
          </a:r>
          <a:endParaRPr kumimoji="1" lang="en-US" altLang="ja-JP" sz="1100" kern="1200"/>
        </a:p>
        <a:p>
          <a:r>
            <a:rPr kumimoji="1" lang="en-US" altLang="ja-JP" sz="1100" kern="1200"/>
            <a:t>【</a:t>
          </a:r>
          <a:r>
            <a:rPr kumimoji="1" lang="ja-JP" altLang="en-US" sz="1100" kern="1200"/>
            <a:t>改定中</a:t>
          </a:r>
          <a:r>
            <a:rPr kumimoji="1" lang="en-US" altLang="ja-JP" sz="1100" kern="1200"/>
            <a:t>】</a:t>
          </a:r>
          <a:r>
            <a:rPr kumimoji="1" lang="ja-JP" altLang="en-US" sz="1100" kern="1200"/>
            <a:t>パターン別</a:t>
          </a:r>
          <a:r>
            <a:rPr kumimoji="1" lang="en-US" altLang="ja-JP" sz="1100" kern="1200"/>
            <a:t>_</a:t>
          </a:r>
          <a:r>
            <a:rPr kumimoji="1" lang="ja-JP" altLang="en-US" sz="1100" kern="1200"/>
            <a:t>システム開発・改修系</a:t>
          </a:r>
          <a:r>
            <a:rPr kumimoji="1" lang="en-US" altLang="ja-JP" sz="1100" kern="1200"/>
            <a:t>_</a:t>
          </a:r>
          <a:r>
            <a:rPr kumimoji="1" lang="ja-JP" altLang="en-US" sz="1100" kern="1200"/>
            <a:t>システム作業申請書</a:t>
          </a:r>
          <a:r>
            <a:rPr kumimoji="1" lang="en-US" altLang="ja-JP" sz="1100" kern="1200"/>
            <a:t>_</a:t>
          </a:r>
          <a:r>
            <a:rPr kumimoji="1" lang="ja-JP" altLang="en-US" sz="1100" kern="1200"/>
            <a:t>社長承認まで</a:t>
          </a:r>
          <a:r>
            <a:rPr kumimoji="1" lang="en-US" altLang="ja-JP" sz="1100" kern="1200"/>
            <a:t>.xlsx</a:t>
          </a:r>
        </a:p>
        <a:p>
          <a:r>
            <a:rPr kumimoji="1" lang="en-US" altLang="ja-JP" sz="1100" kern="1200"/>
            <a:t>【</a:t>
          </a:r>
          <a:r>
            <a:rPr kumimoji="1" lang="ja-JP" altLang="en-US" sz="1100" kern="1200"/>
            <a:t>改定中</a:t>
          </a:r>
          <a:r>
            <a:rPr kumimoji="1" lang="en-US" altLang="ja-JP" sz="1100" kern="1200"/>
            <a:t>】</a:t>
          </a:r>
          <a:r>
            <a:rPr kumimoji="1" lang="ja-JP" altLang="en-US" sz="1100" kern="1200"/>
            <a:t>パターン別</a:t>
          </a:r>
          <a:r>
            <a:rPr kumimoji="1" lang="en-US" altLang="ja-JP" sz="1100" kern="1200"/>
            <a:t>_</a:t>
          </a:r>
          <a:r>
            <a:rPr kumimoji="1" lang="ja-JP" altLang="en-US" sz="1100" kern="1200"/>
            <a:t>日々依頼系</a:t>
          </a:r>
          <a:r>
            <a:rPr kumimoji="1" lang="en-US" altLang="ja-JP" sz="1100" kern="1200"/>
            <a:t>_</a:t>
          </a:r>
          <a:r>
            <a:rPr kumimoji="1" lang="ja-JP" altLang="en-US" sz="1100" kern="1200"/>
            <a:t>システム作業申請書</a:t>
          </a:r>
          <a:r>
            <a:rPr kumimoji="1" lang="en-US" altLang="ja-JP" sz="1100" kern="1200"/>
            <a:t>_</a:t>
          </a:r>
          <a:r>
            <a:rPr kumimoji="1" lang="ja-JP" altLang="en-US" sz="1100" kern="1200"/>
            <a:t>通常</a:t>
          </a:r>
          <a:r>
            <a:rPr kumimoji="1" lang="en-US" altLang="ja-JP" sz="1100" kern="1200"/>
            <a:t>_</a:t>
          </a:r>
          <a:r>
            <a:rPr kumimoji="1" lang="ja-JP" altLang="en-US" sz="1100" kern="1200"/>
            <a:t>部長承認まで</a:t>
          </a:r>
          <a:r>
            <a:rPr kumimoji="1" lang="en-US" altLang="ja-JP" sz="1100" kern="1200"/>
            <a:t>.xlsx</a:t>
          </a:r>
        </a:p>
        <a:p>
          <a:endParaRPr kumimoji="1" lang="en-US" altLang="ja-JP" sz="1100" kern="1200"/>
        </a:p>
        <a:p>
          <a:r>
            <a:rPr kumimoji="1" lang="ja-JP" altLang="en-US" sz="1100" kern="1200"/>
            <a:t>参考に</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552450</xdr:colOff>
      <xdr:row>23</xdr:row>
      <xdr:rowOff>180975</xdr:rowOff>
    </xdr:from>
    <xdr:to>
      <xdr:col>4</xdr:col>
      <xdr:colOff>142875</xdr:colOff>
      <xdr:row>31</xdr:row>
      <xdr:rowOff>0</xdr:rowOff>
    </xdr:to>
    <xdr:grpSp>
      <xdr:nvGrpSpPr>
        <xdr:cNvPr id="31" name="グループ化 30">
          <a:extLst>
            <a:ext uri="{FF2B5EF4-FFF2-40B4-BE49-F238E27FC236}">
              <a16:creationId xmlns:a16="http://schemas.microsoft.com/office/drawing/2014/main" id="{6DB2F73B-20F5-CEC3-8AAF-FD118BD4D1EF}"/>
            </a:ext>
          </a:extLst>
        </xdr:cNvPr>
        <xdr:cNvGrpSpPr/>
      </xdr:nvGrpSpPr>
      <xdr:grpSpPr>
        <a:xfrm>
          <a:off x="552450" y="6097681"/>
          <a:ext cx="12995462" cy="1701613"/>
          <a:chOff x="1076325" y="2876550"/>
          <a:chExt cx="8724900" cy="1724025"/>
        </a:xfrm>
      </xdr:grpSpPr>
      <xdr:sp macro="" textlink="">
        <xdr:nvSpPr>
          <xdr:cNvPr id="3" name="正方形/長方形 2">
            <a:extLst>
              <a:ext uri="{FF2B5EF4-FFF2-40B4-BE49-F238E27FC236}">
                <a16:creationId xmlns:a16="http://schemas.microsoft.com/office/drawing/2014/main" id="{7F795B26-D430-5C65-DE44-81D3CED2A5F9}"/>
              </a:ext>
            </a:extLst>
          </xdr:cNvPr>
          <xdr:cNvSpPr/>
        </xdr:nvSpPr>
        <xdr:spPr>
          <a:xfrm>
            <a:off x="1076325" y="2876550"/>
            <a:ext cx="8724900" cy="1724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 name="正方形/長方形 1">
            <a:extLst>
              <a:ext uri="{FF2B5EF4-FFF2-40B4-BE49-F238E27FC236}">
                <a16:creationId xmlns:a16="http://schemas.microsoft.com/office/drawing/2014/main" id="{4206F8C9-B118-1B93-588E-C40DC0042CDF}"/>
              </a:ext>
            </a:extLst>
          </xdr:cNvPr>
          <xdr:cNvSpPr/>
        </xdr:nvSpPr>
        <xdr:spPr>
          <a:xfrm>
            <a:off x="1590676" y="3771900"/>
            <a:ext cx="112395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申請者</a:t>
            </a:r>
          </a:p>
        </xdr:txBody>
      </xdr:sp>
      <xdr:cxnSp macro="">
        <xdr:nvCxnSpPr>
          <xdr:cNvPr id="5" name="直線矢印コネクタ 4">
            <a:extLst>
              <a:ext uri="{FF2B5EF4-FFF2-40B4-BE49-F238E27FC236}">
                <a16:creationId xmlns:a16="http://schemas.microsoft.com/office/drawing/2014/main" id="{61837BA6-FE0C-094B-FC9D-CD67AF990AA9}"/>
              </a:ext>
            </a:extLst>
          </xdr:cNvPr>
          <xdr:cNvCxnSpPr>
            <a:stCxn id="2" idx="3"/>
            <a:endCxn id="7" idx="1"/>
          </xdr:cNvCxnSpPr>
        </xdr:nvCxnSpPr>
        <xdr:spPr>
          <a:xfrm flipV="1">
            <a:off x="2714626" y="4048125"/>
            <a:ext cx="400049"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正方形/長方形 6">
            <a:extLst>
              <a:ext uri="{FF2B5EF4-FFF2-40B4-BE49-F238E27FC236}">
                <a16:creationId xmlns:a16="http://schemas.microsoft.com/office/drawing/2014/main" id="{8F4F63E5-C87C-485B-B6A2-C2A142DEA7B9}"/>
              </a:ext>
            </a:extLst>
          </xdr:cNvPr>
          <xdr:cNvSpPr/>
        </xdr:nvSpPr>
        <xdr:spPr>
          <a:xfrm>
            <a:off x="3114675" y="3762375"/>
            <a:ext cx="112395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申請部門課長</a:t>
            </a:r>
          </a:p>
        </xdr:txBody>
      </xdr:sp>
      <xdr:cxnSp macro="">
        <xdr:nvCxnSpPr>
          <xdr:cNvPr id="8" name="直線矢印コネクタ 7">
            <a:extLst>
              <a:ext uri="{FF2B5EF4-FFF2-40B4-BE49-F238E27FC236}">
                <a16:creationId xmlns:a16="http://schemas.microsoft.com/office/drawing/2014/main" id="{48F752F6-4418-4F19-8D1C-5F58B8356608}"/>
              </a:ext>
            </a:extLst>
          </xdr:cNvPr>
          <xdr:cNvCxnSpPr/>
        </xdr:nvCxnSpPr>
        <xdr:spPr>
          <a:xfrm>
            <a:off x="4248150" y="4067175"/>
            <a:ext cx="647700"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正方形/長方形 10">
            <a:extLst>
              <a:ext uri="{FF2B5EF4-FFF2-40B4-BE49-F238E27FC236}">
                <a16:creationId xmlns:a16="http://schemas.microsoft.com/office/drawing/2014/main" id="{C77CBEA6-61B1-42A4-8D53-AAD097E63D29}"/>
              </a:ext>
            </a:extLst>
          </xdr:cNvPr>
          <xdr:cNvSpPr/>
        </xdr:nvSpPr>
        <xdr:spPr>
          <a:xfrm>
            <a:off x="4886325" y="3790950"/>
            <a:ext cx="112395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申請部門長</a:t>
            </a:r>
          </a:p>
        </xdr:txBody>
      </xdr:sp>
      <xdr:cxnSp macro="">
        <xdr:nvCxnSpPr>
          <xdr:cNvPr id="12" name="直線矢印コネクタ 11">
            <a:extLst>
              <a:ext uri="{FF2B5EF4-FFF2-40B4-BE49-F238E27FC236}">
                <a16:creationId xmlns:a16="http://schemas.microsoft.com/office/drawing/2014/main" id="{DCECEC06-C3D8-4670-BFBB-7877B19A018E}"/>
              </a:ext>
            </a:extLst>
          </xdr:cNvPr>
          <xdr:cNvCxnSpPr>
            <a:stCxn id="11" idx="3"/>
            <a:endCxn id="21" idx="1"/>
          </xdr:cNvCxnSpPr>
        </xdr:nvCxnSpPr>
        <xdr:spPr>
          <a:xfrm flipV="1">
            <a:off x="6010275" y="4057650"/>
            <a:ext cx="533400"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 name="テキスト ボックス 19">
            <a:extLst>
              <a:ext uri="{FF2B5EF4-FFF2-40B4-BE49-F238E27FC236}">
                <a16:creationId xmlns:a16="http://schemas.microsoft.com/office/drawing/2014/main" id="{E64EF176-998B-645A-21D2-7681E973285E}"/>
              </a:ext>
            </a:extLst>
          </xdr:cNvPr>
          <xdr:cNvSpPr txBox="1"/>
        </xdr:nvSpPr>
        <xdr:spPr>
          <a:xfrm>
            <a:off x="1495425" y="2971799"/>
            <a:ext cx="1181625" cy="647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a:t>書式</a:t>
            </a:r>
            <a:r>
              <a:rPr kumimoji="1" lang="en-US" altLang="ja-JP" sz="1100"/>
              <a:t>1-2</a:t>
            </a:r>
          </a:p>
          <a:p>
            <a:pPr algn="l"/>
            <a:r>
              <a:rPr kumimoji="1" lang="ja-JP" altLang="en-US" sz="1100"/>
              <a:t>システム課権限者まで</a:t>
            </a:r>
          </a:p>
        </xdr:txBody>
      </xdr:sp>
      <xdr:sp macro="" textlink="">
        <xdr:nvSpPr>
          <xdr:cNvPr id="21" name="正方形/長方形 20">
            <a:extLst>
              <a:ext uri="{FF2B5EF4-FFF2-40B4-BE49-F238E27FC236}">
                <a16:creationId xmlns:a16="http://schemas.microsoft.com/office/drawing/2014/main" id="{CF703B58-EEED-4C90-9AA6-2033D6AB6114}"/>
              </a:ext>
            </a:extLst>
          </xdr:cNvPr>
          <xdr:cNvSpPr/>
        </xdr:nvSpPr>
        <xdr:spPr>
          <a:xfrm>
            <a:off x="6543675" y="3771900"/>
            <a:ext cx="1123950" cy="5715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accent1"/>
                </a:solidFill>
              </a:rPr>
              <a:t>関係部門長</a:t>
            </a:r>
          </a:p>
        </xdr:txBody>
      </xdr:sp>
      <xdr:cxnSp macro="">
        <xdr:nvCxnSpPr>
          <xdr:cNvPr id="27" name="直線矢印コネクタ 26">
            <a:extLst>
              <a:ext uri="{FF2B5EF4-FFF2-40B4-BE49-F238E27FC236}">
                <a16:creationId xmlns:a16="http://schemas.microsoft.com/office/drawing/2014/main" id="{21743C16-0249-4D45-BA57-31C4B207E069}"/>
              </a:ext>
            </a:extLst>
          </xdr:cNvPr>
          <xdr:cNvCxnSpPr>
            <a:stCxn id="21" idx="3"/>
            <a:endCxn id="28" idx="1"/>
          </xdr:cNvCxnSpPr>
        </xdr:nvCxnSpPr>
        <xdr:spPr>
          <a:xfrm flipV="1">
            <a:off x="7667625" y="4048125"/>
            <a:ext cx="457200" cy="952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8" name="正方形/長方形 27">
            <a:extLst>
              <a:ext uri="{FF2B5EF4-FFF2-40B4-BE49-F238E27FC236}">
                <a16:creationId xmlns:a16="http://schemas.microsoft.com/office/drawing/2014/main" id="{1D318886-6652-4494-9CE2-22903E74D125}"/>
              </a:ext>
            </a:extLst>
          </xdr:cNvPr>
          <xdr:cNvSpPr/>
        </xdr:nvSpPr>
        <xdr:spPr>
          <a:xfrm>
            <a:off x="8124825" y="3762375"/>
            <a:ext cx="120015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システム権限者</a:t>
            </a:r>
          </a:p>
        </xdr:txBody>
      </xdr:sp>
    </xdr:grpSp>
    <xdr:clientData/>
  </xdr:twoCellAnchor>
  <xdr:twoCellAnchor>
    <xdr:from>
      <xdr:col>0</xdr:col>
      <xdr:colOff>590551</xdr:colOff>
      <xdr:row>15</xdr:row>
      <xdr:rowOff>57150</xdr:rowOff>
    </xdr:from>
    <xdr:to>
      <xdr:col>4</xdr:col>
      <xdr:colOff>190501</xdr:colOff>
      <xdr:row>22</xdr:row>
      <xdr:rowOff>114300</xdr:rowOff>
    </xdr:to>
    <xdr:grpSp>
      <xdr:nvGrpSpPr>
        <xdr:cNvPr id="24" name="グループ化 23">
          <a:extLst>
            <a:ext uri="{FF2B5EF4-FFF2-40B4-BE49-F238E27FC236}">
              <a16:creationId xmlns:a16="http://schemas.microsoft.com/office/drawing/2014/main" id="{AED98056-E3E6-EADC-7F25-34F9C74BC6C7}"/>
            </a:ext>
          </a:extLst>
        </xdr:cNvPr>
        <xdr:cNvGrpSpPr/>
      </xdr:nvGrpSpPr>
      <xdr:grpSpPr>
        <a:xfrm>
          <a:off x="590551" y="4091268"/>
          <a:ext cx="12957361" cy="1704414"/>
          <a:chOff x="590551" y="4091268"/>
          <a:chExt cx="13147862" cy="1704414"/>
        </a:xfrm>
      </xdr:grpSpPr>
      <xdr:sp macro="" textlink="">
        <xdr:nvSpPr>
          <xdr:cNvPr id="6" name="正方形/長方形 5">
            <a:extLst>
              <a:ext uri="{FF2B5EF4-FFF2-40B4-BE49-F238E27FC236}">
                <a16:creationId xmlns:a16="http://schemas.microsoft.com/office/drawing/2014/main" id="{CACB4893-0645-C268-E17A-7EAD9BA16B03}"/>
              </a:ext>
            </a:extLst>
          </xdr:cNvPr>
          <xdr:cNvSpPr/>
        </xdr:nvSpPr>
        <xdr:spPr>
          <a:xfrm>
            <a:off x="590551" y="4091268"/>
            <a:ext cx="13147862" cy="170441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E96830D8-08FE-A886-1128-F2BB39AC084B}"/>
              </a:ext>
            </a:extLst>
          </xdr:cNvPr>
          <xdr:cNvSpPr/>
        </xdr:nvSpPr>
        <xdr:spPr>
          <a:xfrm>
            <a:off x="1298212" y="4967017"/>
            <a:ext cx="1835135"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情報システム担当者</a:t>
            </a:r>
          </a:p>
        </xdr:txBody>
      </xdr:sp>
      <xdr:cxnSp macro="">
        <xdr:nvCxnSpPr>
          <xdr:cNvPr id="10" name="直線矢印コネクタ 9">
            <a:extLst>
              <a:ext uri="{FF2B5EF4-FFF2-40B4-BE49-F238E27FC236}">
                <a16:creationId xmlns:a16="http://schemas.microsoft.com/office/drawing/2014/main" id="{5F50EB4B-3F1B-8E56-50B9-2EC1E6426B2F}"/>
              </a:ext>
            </a:extLst>
          </xdr:cNvPr>
          <xdr:cNvCxnSpPr>
            <a:stCxn id="9" idx="3"/>
            <a:endCxn id="15" idx="1"/>
          </xdr:cNvCxnSpPr>
        </xdr:nvCxnSpPr>
        <xdr:spPr>
          <a:xfrm flipV="1">
            <a:off x="3133347" y="5240100"/>
            <a:ext cx="514803"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正方形/長方形 12">
            <a:extLst>
              <a:ext uri="{FF2B5EF4-FFF2-40B4-BE49-F238E27FC236}">
                <a16:creationId xmlns:a16="http://schemas.microsoft.com/office/drawing/2014/main" id="{A0795063-8CFC-1C60-3F3A-E81E86D652D2}"/>
              </a:ext>
            </a:extLst>
          </xdr:cNvPr>
          <xdr:cNvSpPr/>
        </xdr:nvSpPr>
        <xdr:spPr>
          <a:xfrm>
            <a:off x="7449998" y="4957600"/>
            <a:ext cx="1807034"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情報システム権限者</a:t>
            </a:r>
          </a:p>
        </xdr:txBody>
      </xdr:sp>
      <xdr:cxnSp macro="">
        <xdr:nvCxnSpPr>
          <xdr:cNvPr id="14" name="直線矢印コネクタ 13">
            <a:extLst>
              <a:ext uri="{FF2B5EF4-FFF2-40B4-BE49-F238E27FC236}">
                <a16:creationId xmlns:a16="http://schemas.microsoft.com/office/drawing/2014/main" id="{0E89011A-F32E-0AEF-CEED-3C6D004D690F}"/>
              </a:ext>
            </a:extLst>
          </xdr:cNvPr>
          <xdr:cNvCxnSpPr>
            <a:stCxn id="18" idx="3"/>
            <a:endCxn id="13" idx="1"/>
          </xdr:cNvCxnSpPr>
        </xdr:nvCxnSpPr>
        <xdr:spPr>
          <a:xfrm>
            <a:off x="6998457" y="5240100"/>
            <a:ext cx="451541"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 name="正方形/長方形 14">
            <a:extLst>
              <a:ext uri="{FF2B5EF4-FFF2-40B4-BE49-F238E27FC236}">
                <a16:creationId xmlns:a16="http://schemas.microsoft.com/office/drawing/2014/main" id="{8F663438-9119-55DB-B42B-1EFACECE49A4}"/>
              </a:ext>
            </a:extLst>
          </xdr:cNvPr>
          <xdr:cNvSpPr/>
        </xdr:nvSpPr>
        <xdr:spPr>
          <a:xfrm>
            <a:off x="3648151" y="4957600"/>
            <a:ext cx="1410563"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申請部門長</a:t>
            </a:r>
          </a:p>
        </xdr:txBody>
      </xdr:sp>
      <xdr:cxnSp macro="">
        <xdr:nvCxnSpPr>
          <xdr:cNvPr id="16" name="直線矢印コネクタ 15">
            <a:extLst>
              <a:ext uri="{FF2B5EF4-FFF2-40B4-BE49-F238E27FC236}">
                <a16:creationId xmlns:a16="http://schemas.microsoft.com/office/drawing/2014/main" id="{2DE45222-5D4A-0497-2640-52AB3F4FC8C6}"/>
              </a:ext>
            </a:extLst>
          </xdr:cNvPr>
          <xdr:cNvCxnSpPr>
            <a:stCxn id="15" idx="3"/>
            <a:endCxn id="18" idx="1"/>
          </xdr:cNvCxnSpPr>
        </xdr:nvCxnSpPr>
        <xdr:spPr>
          <a:xfrm>
            <a:off x="5058713" y="5240100"/>
            <a:ext cx="524390"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テキスト ボックス 16">
            <a:extLst>
              <a:ext uri="{FF2B5EF4-FFF2-40B4-BE49-F238E27FC236}">
                <a16:creationId xmlns:a16="http://schemas.microsoft.com/office/drawing/2014/main" id="{1BC02715-AA2E-B8C7-2093-530D3ACCBEDF}"/>
              </a:ext>
            </a:extLst>
          </xdr:cNvPr>
          <xdr:cNvSpPr txBox="1"/>
        </xdr:nvSpPr>
        <xdr:spPr>
          <a:xfrm>
            <a:off x="1326997" y="4185434"/>
            <a:ext cx="2407545" cy="640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a:t>書式</a:t>
            </a:r>
            <a:r>
              <a:rPr kumimoji="1" lang="en-US" altLang="ja-JP" sz="1100"/>
              <a:t>1-1</a:t>
            </a:r>
            <a:r>
              <a:rPr kumimoji="1" lang="ja-JP" altLang="en-US" sz="1100"/>
              <a:t>　</a:t>
            </a:r>
            <a:r>
              <a:rPr kumimoji="1" lang="en-US" altLang="ja-JP" sz="1100"/>
              <a:t>※</a:t>
            </a:r>
            <a:r>
              <a:rPr kumimoji="1" lang="ja-JP" altLang="en-US" sz="1100"/>
              <a:t>システム課のみで使用</a:t>
            </a:r>
            <a:endParaRPr kumimoji="1" lang="en-US" altLang="ja-JP" sz="1100"/>
          </a:p>
          <a:p>
            <a:pPr algn="l"/>
            <a:r>
              <a:rPr kumimoji="1" lang="ja-JP" altLang="en-US" sz="1100"/>
              <a:t>情報システム責任者まで</a:t>
            </a:r>
          </a:p>
        </xdr:txBody>
      </xdr:sp>
      <xdr:sp macro="" textlink="">
        <xdr:nvSpPr>
          <xdr:cNvPr id="18" name="正方形/長方形 17">
            <a:extLst>
              <a:ext uri="{FF2B5EF4-FFF2-40B4-BE49-F238E27FC236}">
                <a16:creationId xmlns:a16="http://schemas.microsoft.com/office/drawing/2014/main" id="{33738627-E0A5-625E-DBD7-66B12FAF8034}"/>
              </a:ext>
            </a:extLst>
          </xdr:cNvPr>
          <xdr:cNvSpPr/>
        </xdr:nvSpPr>
        <xdr:spPr>
          <a:xfrm>
            <a:off x="5583103" y="4957600"/>
            <a:ext cx="1415354" cy="56499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accent1"/>
                </a:solidFill>
              </a:rPr>
              <a:t>関係部門長</a:t>
            </a:r>
          </a:p>
        </xdr:txBody>
      </xdr:sp>
      <xdr:cxnSp macro="">
        <xdr:nvCxnSpPr>
          <xdr:cNvPr id="19" name="直線矢印コネクタ 18">
            <a:extLst>
              <a:ext uri="{FF2B5EF4-FFF2-40B4-BE49-F238E27FC236}">
                <a16:creationId xmlns:a16="http://schemas.microsoft.com/office/drawing/2014/main" id="{E1324DB3-92D0-CAD5-F735-3F82149CDD2C}"/>
              </a:ext>
            </a:extLst>
          </xdr:cNvPr>
          <xdr:cNvCxnSpPr>
            <a:cxnSpLocks/>
            <a:stCxn id="54" idx="3"/>
            <a:endCxn id="63" idx="1"/>
          </xdr:cNvCxnSpPr>
        </xdr:nvCxnSpPr>
        <xdr:spPr>
          <a:xfrm>
            <a:off x="10841866" y="5240100"/>
            <a:ext cx="713875"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4" name="正方形/長方形 53">
            <a:extLst>
              <a:ext uri="{FF2B5EF4-FFF2-40B4-BE49-F238E27FC236}">
                <a16:creationId xmlns:a16="http://schemas.microsoft.com/office/drawing/2014/main" id="{DD99DF98-CBA3-4742-ABCB-F6E9087CF8C5}"/>
              </a:ext>
            </a:extLst>
          </xdr:cNvPr>
          <xdr:cNvSpPr/>
        </xdr:nvSpPr>
        <xdr:spPr>
          <a:xfrm>
            <a:off x="9698597" y="4957600"/>
            <a:ext cx="1143269"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経営管理部長</a:t>
            </a:r>
          </a:p>
        </xdr:txBody>
      </xdr:sp>
      <xdr:cxnSp macro="">
        <xdr:nvCxnSpPr>
          <xdr:cNvPr id="55" name="直線矢印コネクタ 54">
            <a:extLst>
              <a:ext uri="{FF2B5EF4-FFF2-40B4-BE49-F238E27FC236}">
                <a16:creationId xmlns:a16="http://schemas.microsoft.com/office/drawing/2014/main" id="{1E011A5D-70BA-48BB-8D5B-516E6066C033}"/>
              </a:ext>
            </a:extLst>
          </xdr:cNvPr>
          <xdr:cNvCxnSpPr>
            <a:stCxn id="13" idx="3"/>
            <a:endCxn id="54" idx="1"/>
          </xdr:cNvCxnSpPr>
        </xdr:nvCxnSpPr>
        <xdr:spPr>
          <a:xfrm>
            <a:off x="9257032" y="5240100"/>
            <a:ext cx="441565"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3" name="正方形/長方形 62">
            <a:extLst>
              <a:ext uri="{FF2B5EF4-FFF2-40B4-BE49-F238E27FC236}">
                <a16:creationId xmlns:a16="http://schemas.microsoft.com/office/drawing/2014/main" id="{B12DFF57-1F6B-47C2-8150-3860C81A81BA}"/>
              </a:ext>
            </a:extLst>
          </xdr:cNvPr>
          <xdr:cNvSpPr/>
        </xdr:nvSpPr>
        <xdr:spPr>
          <a:xfrm>
            <a:off x="11555741" y="4957600"/>
            <a:ext cx="1533782"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情報システム責任者</a:t>
            </a:r>
          </a:p>
        </xdr:txBody>
      </xdr:sp>
    </xdr:grpSp>
    <xdr:clientData/>
  </xdr:twoCellAnchor>
  <xdr:twoCellAnchor>
    <xdr:from>
      <xdr:col>1</xdr:col>
      <xdr:colOff>47624</xdr:colOff>
      <xdr:row>49</xdr:row>
      <xdr:rowOff>209550</xdr:rowOff>
    </xdr:from>
    <xdr:to>
      <xdr:col>3</xdr:col>
      <xdr:colOff>1154206</xdr:colOff>
      <xdr:row>57</xdr:row>
      <xdr:rowOff>28575</xdr:rowOff>
    </xdr:to>
    <xdr:grpSp>
      <xdr:nvGrpSpPr>
        <xdr:cNvPr id="4" name="グループ化 3">
          <a:extLst>
            <a:ext uri="{FF2B5EF4-FFF2-40B4-BE49-F238E27FC236}">
              <a16:creationId xmlns:a16="http://schemas.microsoft.com/office/drawing/2014/main" id="{734B735E-6A75-3758-B72A-185E5A1E26C8}"/>
            </a:ext>
          </a:extLst>
        </xdr:cNvPr>
        <xdr:cNvGrpSpPr/>
      </xdr:nvGrpSpPr>
      <xdr:grpSpPr>
        <a:xfrm>
          <a:off x="731183" y="12827374"/>
          <a:ext cx="10261788" cy="1701613"/>
          <a:chOff x="731183" y="12827374"/>
          <a:chExt cx="10261788" cy="1701613"/>
        </a:xfrm>
      </xdr:grpSpPr>
      <xdr:sp macro="" textlink="">
        <xdr:nvSpPr>
          <xdr:cNvPr id="131" name="正方形/長方形 130">
            <a:extLst>
              <a:ext uri="{FF2B5EF4-FFF2-40B4-BE49-F238E27FC236}">
                <a16:creationId xmlns:a16="http://schemas.microsoft.com/office/drawing/2014/main" id="{7B0DEB12-BA1B-B7AF-272E-C899D19FE817}"/>
              </a:ext>
            </a:extLst>
          </xdr:cNvPr>
          <xdr:cNvSpPr/>
        </xdr:nvSpPr>
        <xdr:spPr>
          <a:xfrm>
            <a:off x="731183" y="12827374"/>
            <a:ext cx="10261788" cy="170161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2" name="正方形/長方形 131">
            <a:extLst>
              <a:ext uri="{FF2B5EF4-FFF2-40B4-BE49-F238E27FC236}">
                <a16:creationId xmlns:a16="http://schemas.microsoft.com/office/drawing/2014/main" id="{6C7939CC-E01E-FBEC-4920-BD3FCDE382AE}"/>
              </a:ext>
            </a:extLst>
          </xdr:cNvPr>
          <xdr:cNvSpPr/>
        </xdr:nvSpPr>
        <xdr:spPr>
          <a:xfrm>
            <a:off x="1274182" y="13701683"/>
            <a:ext cx="1180096" cy="5640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申請者</a:t>
            </a:r>
          </a:p>
        </xdr:txBody>
      </xdr:sp>
      <xdr:cxnSp macro="">
        <xdr:nvCxnSpPr>
          <xdr:cNvPr id="133" name="直線矢印コネクタ 132">
            <a:extLst>
              <a:ext uri="{FF2B5EF4-FFF2-40B4-BE49-F238E27FC236}">
                <a16:creationId xmlns:a16="http://schemas.microsoft.com/office/drawing/2014/main" id="{9EEA7BD3-29B4-3CDA-12B1-9EAB0DE8A318}"/>
              </a:ext>
            </a:extLst>
          </xdr:cNvPr>
          <xdr:cNvCxnSpPr>
            <a:stCxn id="132" idx="3"/>
            <a:endCxn id="134" idx="1"/>
          </xdr:cNvCxnSpPr>
        </xdr:nvCxnSpPr>
        <xdr:spPr>
          <a:xfrm>
            <a:off x="2454278" y="13983719"/>
            <a:ext cx="656918"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4" name="正方形/長方形 133">
            <a:extLst>
              <a:ext uri="{FF2B5EF4-FFF2-40B4-BE49-F238E27FC236}">
                <a16:creationId xmlns:a16="http://schemas.microsoft.com/office/drawing/2014/main" id="{CD64AD9F-47E6-6F4A-DA47-114046D94511}"/>
              </a:ext>
            </a:extLst>
          </xdr:cNvPr>
          <xdr:cNvSpPr/>
        </xdr:nvSpPr>
        <xdr:spPr>
          <a:xfrm>
            <a:off x="3111196" y="13701683"/>
            <a:ext cx="1440030" cy="5640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申請部門課長</a:t>
            </a:r>
          </a:p>
        </xdr:txBody>
      </xdr:sp>
      <xdr:cxnSp macro="">
        <xdr:nvCxnSpPr>
          <xdr:cNvPr id="135" name="直線矢印コネクタ 134">
            <a:extLst>
              <a:ext uri="{FF2B5EF4-FFF2-40B4-BE49-F238E27FC236}">
                <a16:creationId xmlns:a16="http://schemas.microsoft.com/office/drawing/2014/main" id="{82C96956-DE86-4926-8B20-1F6A6764933A}"/>
              </a:ext>
            </a:extLst>
          </xdr:cNvPr>
          <xdr:cNvCxnSpPr>
            <a:stCxn id="134" idx="3"/>
            <a:endCxn id="136" idx="1"/>
          </xdr:cNvCxnSpPr>
        </xdr:nvCxnSpPr>
        <xdr:spPr>
          <a:xfrm>
            <a:off x="4551226" y="13983719"/>
            <a:ext cx="536969"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6" name="正方形/長方形 135">
            <a:extLst>
              <a:ext uri="{FF2B5EF4-FFF2-40B4-BE49-F238E27FC236}">
                <a16:creationId xmlns:a16="http://schemas.microsoft.com/office/drawing/2014/main" id="{A450F06A-82E9-B31E-AA40-99A79BB55713}"/>
              </a:ext>
            </a:extLst>
          </xdr:cNvPr>
          <xdr:cNvSpPr/>
        </xdr:nvSpPr>
        <xdr:spPr>
          <a:xfrm>
            <a:off x="5088195" y="13701683"/>
            <a:ext cx="1339711" cy="5640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申請部門長</a:t>
            </a:r>
          </a:p>
        </xdr:txBody>
      </xdr:sp>
      <xdr:cxnSp macro="">
        <xdr:nvCxnSpPr>
          <xdr:cNvPr id="137" name="直線矢印コネクタ 136">
            <a:extLst>
              <a:ext uri="{FF2B5EF4-FFF2-40B4-BE49-F238E27FC236}">
                <a16:creationId xmlns:a16="http://schemas.microsoft.com/office/drawing/2014/main" id="{6E221593-9D7C-F7A2-EE07-A536ED42C1DA}"/>
              </a:ext>
            </a:extLst>
          </xdr:cNvPr>
          <xdr:cNvCxnSpPr>
            <a:stCxn id="136" idx="3"/>
            <a:endCxn id="139" idx="1"/>
          </xdr:cNvCxnSpPr>
        </xdr:nvCxnSpPr>
        <xdr:spPr>
          <a:xfrm>
            <a:off x="6427906" y="13983719"/>
            <a:ext cx="683668"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8" name="テキスト ボックス 137">
            <a:extLst>
              <a:ext uri="{FF2B5EF4-FFF2-40B4-BE49-F238E27FC236}">
                <a16:creationId xmlns:a16="http://schemas.microsoft.com/office/drawing/2014/main" id="{61A38BDF-A1F1-C19E-ED60-61BD4876BF10}"/>
              </a:ext>
            </a:extLst>
          </xdr:cNvPr>
          <xdr:cNvSpPr txBox="1"/>
        </xdr:nvSpPr>
        <xdr:spPr>
          <a:xfrm>
            <a:off x="1002496" y="12921385"/>
            <a:ext cx="1757788" cy="639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a:t>書式</a:t>
            </a:r>
            <a:r>
              <a:rPr kumimoji="1" lang="en-US" altLang="ja-JP" sz="1100"/>
              <a:t>2-1</a:t>
            </a:r>
            <a:r>
              <a:rPr kumimoji="1" lang="ja-JP" altLang="en-US" sz="1100"/>
              <a:t>、</a:t>
            </a:r>
            <a:r>
              <a:rPr kumimoji="1" lang="en-US" altLang="ja-JP" sz="1100"/>
              <a:t>2-2</a:t>
            </a:r>
            <a:r>
              <a:rPr kumimoji="1" lang="ja-JP" altLang="en-US" sz="1100"/>
              <a:t>、</a:t>
            </a:r>
            <a:r>
              <a:rPr kumimoji="1" lang="en-US" altLang="ja-JP" sz="1100"/>
              <a:t>2-3</a:t>
            </a:r>
          </a:p>
          <a:p>
            <a:pPr algn="l"/>
            <a:r>
              <a:rPr kumimoji="1" lang="ja-JP" altLang="en-US" sz="1100"/>
              <a:t>システム課権限者まで</a:t>
            </a:r>
          </a:p>
        </xdr:txBody>
      </xdr:sp>
      <xdr:sp macro="" textlink="">
        <xdr:nvSpPr>
          <xdr:cNvPr id="139" name="正方形/長方形 138">
            <a:extLst>
              <a:ext uri="{FF2B5EF4-FFF2-40B4-BE49-F238E27FC236}">
                <a16:creationId xmlns:a16="http://schemas.microsoft.com/office/drawing/2014/main" id="{27F97BFA-24E9-ECF7-A20D-67A41EABC6C7}"/>
              </a:ext>
            </a:extLst>
          </xdr:cNvPr>
          <xdr:cNvSpPr/>
        </xdr:nvSpPr>
        <xdr:spPr>
          <a:xfrm>
            <a:off x="7111575" y="13701683"/>
            <a:ext cx="1250169" cy="56407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accent1"/>
                </a:solidFill>
              </a:rPr>
              <a:t>関係部門長</a:t>
            </a:r>
          </a:p>
        </xdr:txBody>
      </xdr:sp>
      <xdr:cxnSp macro="">
        <xdr:nvCxnSpPr>
          <xdr:cNvPr id="140" name="直線矢印コネクタ 139">
            <a:extLst>
              <a:ext uri="{FF2B5EF4-FFF2-40B4-BE49-F238E27FC236}">
                <a16:creationId xmlns:a16="http://schemas.microsoft.com/office/drawing/2014/main" id="{312EA209-DED5-AB84-0AED-6CFE72D5035E}"/>
              </a:ext>
            </a:extLst>
          </xdr:cNvPr>
          <xdr:cNvCxnSpPr>
            <a:stCxn id="139" idx="3"/>
            <a:endCxn id="141" idx="1"/>
          </xdr:cNvCxnSpPr>
        </xdr:nvCxnSpPr>
        <xdr:spPr>
          <a:xfrm>
            <a:off x="8361743" y="13983719"/>
            <a:ext cx="677115"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1" name="正方形/長方形 140">
            <a:extLst>
              <a:ext uri="{FF2B5EF4-FFF2-40B4-BE49-F238E27FC236}">
                <a16:creationId xmlns:a16="http://schemas.microsoft.com/office/drawing/2014/main" id="{E054E101-DC40-B138-6179-CE2DD82F8E4C}"/>
              </a:ext>
            </a:extLst>
          </xdr:cNvPr>
          <xdr:cNvSpPr/>
        </xdr:nvSpPr>
        <xdr:spPr>
          <a:xfrm>
            <a:off x="9038858" y="13701683"/>
            <a:ext cx="1494878" cy="5640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システム権限者</a:t>
            </a:r>
          </a:p>
        </xdr:txBody>
      </xdr:sp>
    </xdr:grpSp>
    <xdr:clientData/>
  </xdr:twoCellAnchor>
  <xdr:twoCellAnchor>
    <xdr:from>
      <xdr:col>0</xdr:col>
      <xdr:colOff>666750</xdr:colOff>
      <xdr:row>73</xdr:row>
      <xdr:rowOff>38100</xdr:rowOff>
    </xdr:from>
    <xdr:to>
      <xdr:col>3</xdr:col>
      <xdr:colOff>862852</xdr:colOff>
      <xdr:row>80</xdr:row>
      <xdr:rowOff>95250</xdr:rowOff>
    </xdr:to>
    <xdr:grpSp>
      <xdr:nvGrpSpPr>
        <xdr:cNvPr id="22" name="グループ化 21">
          <a:extLst>
            <a:ext uri="{FF2B5EF4-FFF2-40B4-BE49-F238E27FC236}">
              <a16:creationId xmlns:a16="http://schemas.microsoft.com/office/drawing/2014/main" id="{FA30B2E8-AB54-A6CF-97F0-A22FF622FB58}"/>
            </a:ext>
          </a:extLst>
        </xdr:cNvPr>
        <xdr:cNvGrpSpPr/>
      </xdr:nvGrpSpPr>
      <xdr:grpSpPr>
        <a:xfrm>
          <a:off x="666750" y="18639865"/>
          <a:ext cx="10034867" cy="1704414"/>
          <a:chOff x="666750" y="18639865"/>
          <a:chExt cx="10034867" cy="1704414"/>
        </a:xfrm>
      </xdr:grpSpPr>
      <xdr:sp macro="" textlink="">
        <xdr:nvSpPr>
          <xdr:cNvPr id="45" name="正方形/長方形 44">
            <a:extLst>
              <a:ext uri="{FF2B5EF4-FFF2-40B4-BE49-F238E27FC236}">
                <a16:creationId xmlns:a16="http://schemas.microsoft.com/office/drawing/2014/main" id="{222BE411-A291-CBC8-7ED0-81676958BCAB}"/>
              </a:ext>
            </a:extLst>
          </xdr:cNvPr>
          <xdr:cNvSpPr/>
        </xdr:nvSpPr>
        <xdr:spPr>
          <a:xfrm>
            <a:off x="666750" y="18639865"/>
            <a:ext cx="10034867" cy="170441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 name="正方形/長方形 45">
            <a:extLst>
              <a:ext uri="{FF2B5EF4-FFF2-40B4-BE49-F238E27FC236}">
                <a16:creationId xmlns:a16="http://schemas.microsoft.com/office/drawing/2014/main" id="{AC5B7D7B-8108-2B1D-499B-EC30B83AF06E}"/>
              </a:ext>
            </a:extLst>
          </xdr:cNvPr>
          <xdr:cNvSpPr/>
        </xdr:nvSpPr>
        <xdr:spPr>
          <a:xfrm>
            <a:off x="1203034" y="19515614"/>
            <a:ext cx="903214"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申請者</a:t>
            </a:r>
          </a:p>
        </xdr:txBody>
      </xdr:sp>
      <xdr:cxnSp macro="">
        <xdr:nvCxnSpPr>
          <xdr:cNvPr id="47" name="直線矢印コネクタ 46">
            <a:extLst>
              <a:ext uri="{FF2B5EF4-FFF2-40B4-BE49-F238E27FC236}">
                <a16:creationId xmlns:a16="http://schemas.microsoft.com/office/drawing/2014/main" id="{96390567-A77C-95C8-B00A-D1FF024546E6}"/>
              </a:ext>
            </a:extLst>
          </xdr:cNvPr>
          <xdr:cNvCxnSpPr>
            <a:stCxn id="46" idx="3"/>
            <a:endCxn id="48" idx="1"/>
          </xdr:cNvCxnSpPr>
        </xdr:nvCxnSpPr>
        <xdr:spPr>
          <a:xfrm>
            <a:off x="2106248" y="19798113"/>
            <a:ext cx="562971"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8" name="正方形/長方形 47">
            <a:extLst>
              <a:ext uri="{FF2B5EF4-FFF2-40B4-BE49-F238E27FC236}">
                <a16:creationId xmlns:a16="http://schemas.microsoft.com/office/drawing/2014/main" id="{9A1AD6D9-3B77-744B-FDA6-AB1820A00A02}"/>
              </a:ext>
            </a:extLst>
          </xdr:cNvPr>
          <xdr:cNvSpPr/>
        </xdr:nvSpPr>
        <xdr:spPr>
          <a:xfrm>
            <a:off x="2669219" y="19515614"/>
            <a:ext cx="1111743"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申請部門課長</a:t>
            </a:r>
          </a:p>
        </xdr:txBody>
      </xdr:sp>
      <xdr:cxnSp macro="">
        <xdr:nvCxnSpPr>
          <xdr:cNvPr id="49" name="直線矢印コネクタ 48">
            <a:extLst>
              <a:ext uri="{FF2B5EF4-FFF2-40B4-BE49-F238E27FC236}">
                <a16:creationId xmlns:a16="http://schemas.microsoft.com/office/drawing/2014/main" id="{046BE5F5-6749-2DF8-8AFF-BB115D11626A}"/>
              </a:ext>
            </a:extLst>
          </xdr:cNvPr>
          <xdr:cNvCxnSpPr>
            <a:stCxn id="48" idx="3"/>
            <a:endCxn id="50" idx="1"/>
          </xdr:cNvCxnSpPr>
        </xdr:nvCxnSpPr>
        <xdr:spPr>
          <a:xfrm>
            <a:off x="3780962" y="19798113"/>
            <a:ext cx="464470"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0" name="正方形/長方形 49">
            <a:extLst>
              <a:ext uri="{FF2B5EF4-FFF2-40B4-BE49-F238E27FC236}">
                <a16:creationId xmlns:a16="http://schemas.microsoft.com/office/drawing/2014/main" id="{0BBF7C20-28A8-ACFC-8B44-9DA4C555713B}"/>
              </a:ext>
            </a:extLst>
          </xdr:cNvPr>
          <xdr:cNvSpPr/>
        </xdr:nvSpPr>
        <xdr:spPr>
          <a:xfrm>
            <a:off x="4245432" y="19515614"/>
            <a:ext cx="1078522"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申請部門長</a:t>
            </a:r>
          </a:p>
        </xdr:txBody>
      </xdr:sp>
      <xdr:cxnSp macro="">
        <xdr:nvCxnSpPr>
          <xdr:cNvPr id="51" name="直線矢印コネクタ 50">
            <a:extLst>
              <a:ext uri="{FF2B5EF4-FFF2-40B4-BE49-F238E27FC236}">
                <a16:creationId xmlns:a16="http://schemas.microsoft.com/office/drawing/2014/main" id="{053CD1E3-429E-20BC-2282-22DD1DF24206}"/>
              </a:ext>
            </a:extLst>
          </xdr:cNvPr>
          <xdr:cNvCxnSpPr>
            <a:stCxn id="50" idx="3"/>
            <a:endCxn id="53" idx="1"/>
          </xdr:cNvCxnSpPr>
        </xdr:nvCxnSpPr>
        <xdr:spPr>
          <a:xfrm>
            <a:off x="5323954" y="19798113"/>
            <a:ext cx="421187"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2" name="テキスト ボックス 51">
            <a:extLst>
              <a:ext uri="{FF2B5EF4-FFF2-40B4-BE49-F238E27FC236}">
                <a16:creationId xmlns:a16="http://schemas.microsoft.com/office/drawing/2014/main" id="{CBD17852-CE1A-CEA8-4008-6EC973A909CB}"/>
              </a:ext>
            </a:extLst>
          </xdr:cNvPr>
          <xdr:cNvSpPr txBox="1"/>
        </xdr:nvSpPr>
        <xdr:spPr>
          <a:xfrm>
            <a:off x="934707" y="18734031"/>
            <a:ext cx="2833056" cy="640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a:t>書式</a:t>
            </a:r>
            <a:r>
              <a:rPr kumimoji="1" lang="en-US" altLang="ja-JP" sz="1100"/>
              <a:t>3-1</a:t>
            </a:r>
            <a:r>
              <a:rPr kumimoji="1" lang="ja-JP" altLang="en-US" sz="1100"/>
              <a:t>、</a:t>
            </a:r>
            <a:r>
              <a:rPr kumimoji="1" lang="en-US" altLang="ja-JP" sz="1100"/>
              <a:t>3-2</a:t>
            </a:r>
            <a:r>
              <a:rPr kumimoji="1" lang="ja-JP" altLang="en-US" sz="1100"/>
              <a:t>、</a:t>
            </a:r>
            <a:r>
              <a:rPr kumimoji="1" lang="en-US" altLang="ja-JP" sz="1100"/>
              <a:t>3-3</a:t>
            </a:r>
            <a:r>
              <a:rPr kumimoji="1" lang="ja-JP" altLang="en-US" sz="1100"/>
              <a:t>、</a:t>
            </a:r>
            <a:r>
              <a:rPr kumimoji="1" lang="en-US" altLang="ja-JP" sz="1100"/>
              <a:t>3-4</a:t>
            </a:r>
            <a:r>
              <a:rPr kumimoji="1" lang="ja-JP" altLang="en-US" sz="1100"/>
              <a:t>、</a:t>
            </a:r>
            <a:r>
              <a:rPr kumimoji="1" lang="en-US" altLang="ja-JP" sz="1100"/>
              <a:t>3-5</a:t>
            </a:r>
          </a:p>
          <a:p>
            <a:pPr algn="l"/>
            <a:r>
              <a:rPr kumimoji="1" lang="ja-JP" altLang="en-US" sz="1100"/>
              <a:t>システム責任者まで</a:t>
            </a:r>
          </a:p>
        </xdr:txBody>
      </xdr:sp>
      <xdr:sp macro="" textlink="">
        <xdr:nvSpPr>
          <xdr:cNvPr id="53" name="正方形/長方形 52">
            <a:extLst>
              <a:ext uri="{FF2B5EF4-FFF2-40B4-BE49-F238E27FC236}">
                <a16:creationId xmlns:a16="http://schemas.microsoft.com/office/drawing/2014/main" id="{5B7B0322-BB1A-26C1-B249-5192BA0AA800}"/>
              </a:ext>
            </a:extLst>
          </xdr:cNvPr>
          <xdr:cNvSpPr/>
        </xdr:nvSpPr>
        <xdr:spPr>
          <a:xfrm>
            <a:off x="5745141" y="19515614"/>
            <a:ext cx="1046539" cy="56499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accent1"/>
                </a:solidFill>
              </a:rPr>
              <a:t>関係部門長</a:t>
            </a:r>
          </a:p>
        </xdr:txBody>
      </xdr:sp>
      <xdr:cxnSp macro="">
        <xdr:nvCxnSpPr>
          <xdr:cNvPr id="56" name="直線矢印コネクタ 55">
            <a:extLst>
              <a:ext uri="{FF2B5EF4-FFF2-40B4-BE49-F238E27FC236}">
                <a16:creationId xmlns:a16="http://schemas.microsoft.com/office/drawing/2014/main" id="{9B31F781-77DB-54FA-70D2-8AC1FDDE8909}"/>
              </a:ext>
            </a:extLst>
          </xdr:cNvPr>
          <xdr:cNvCxnSpPr>
            <a:stCxn id="53" idx="3"/>
            <a:endCxn id="57" idx="1"/>
          </xdr:cNvCxnSpPr>
        </xdr:nvCxnSpPr>
        <xdr:spPr>
          <a:xfrm>
            <a:off x="6791680" y="19798113"/>
            <a:ext cx="555844"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7" name="正方形/長方形 56">
            <a:extLst>
              <a:ext uri="{FF2B5EF4-FFF2-40B4-BE49-F238E27FC236}">
                <a16:creationId xmlns:a16="http://schemas.microsoft.com/office/drawing/2014/main" id="{DDA7CA7D-1C54-66D4-CBF4-A913DB13DB23}"/>
              </a:ext>
            </a:extLst>
          </xdr:cNvPr>
          <xdr:cNvSpPr/>
        </xdr:nvSpPr>
        <xdr:spPr>
          <a:xfrm>
            <a:off x="7347524" y="19515614"/>
            <a:ext cx="1212954"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システム権限者</a:t>
            </a:r>
          </a:p>
        </xdr:txBody>
      </xdr:sp>
      <xdr:cxnSp macro="">
        <xdr:nvCxnSpPr>
          <xdr:cNvPr id="43" name="直線矢印コネクタ 42">
            <a:extLst>
              <a:ext uri="{FF2B5EF4-FFF2-40B4-BE49-F238E27FC236}">
                <a16:creationId xmlns:a16="http://schemas.microsoft.com/office/drawing/2014/main" id="{D80B62F1-A8AF-BF9B-798D-F6478DDC98F1}"/>
              </a:ext>
            </a:extLst>
          </xdr:cNvPr>
          <xdr:cNvCxnSpPr>
            <a:cxnSpLocks/>
            <a:stCxn id="57" idx="3"/>
          </xdr:cNvCxnSpPr>
        </xdr:nvCxnSpPr>
        <xdr:spPr>
          <a:xfrm flipV="1">
            <a:off x="8560478" y="19798113"/>
            <a:ext cx="392429" cy="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7" name="正方形/長方形 126">
            <a:extLst>
              <a:ext uri="{FF2B5EF4-FFF2-40B4-BE49-F238E27FC236}">
                <a16:creationId xmlns:a16="http://schemas.microsoft.com/office/drawing/2014/main" id="{E742D22A-F818-4281-9452-50CB178F8A78}"/>
              </a:ext>
            </a:extLst>
          </xdr:cNvPr>
          <xdr:cNvSpPr/>
        </xdr:nvSpPr>
        <xdr:spPr>
          <a:xfrm>
            <a:off x="8965396" y="19515614"/>
            <a:ext cx="1409555" cy="564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情報システム責任者</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37096;&#38272;&#20849;&#36890;/&#12503;&#12525;&#12472;&#12455;&#12463;&#12488;/&#24773;&#22577;&#12471;&#12473;&#12486;&#12512;&#31649;&#29702;&#35215;&#31243;/&#26360;&#24335;3_&#12471;&#12473;&#12486;&#12512;&#20316;&#26989;&#30003;&#35531;&#26360;_&#36012;&#20219;&#32773;&#25215;&#35469;&#12414;&#12391;.xlsx" TargetMode="External"/><Relationship Id="rId2" Type="http://schemas.openxmlformats.org/officeDocument/2006/relationships/hyperlink" Target="../../../../../../&#37096;&#38272;&#20849;&#36890;/&#12503;&#12525;&#12472;&#12455;&#12463;&#12488;/&#24773;&#22577;&#12471;&#12473;&#12486;&#12512;&#31649;&#29702;&#35215;&#31243;/&#26360;&#24335;2_&#26085;&#12293;&#20381;&#38972;&#31995;_&#12471;&#12473;&#12486;&#12512;&#20316;&#26989;&#30003;&#35531;&#26360;.xlsx" TargetMode="External"/><Relationship Id="rId1" Type="http://schemas.openxmlformats.org/officeDocument/2006/relationships/hyperlink" Target="../../../../../&#37096;&#38272;&#20849;&#36890;/&#12503;&#12525;&#12472;&#12455;&#12463;&#12488;/&#24773;&#22577;&#12471;&#12473;&#12486;&#12512;&#31649;&#29702;&#35215;&#31243;/&#26360;&#24335;1-1_&#26360;&#24335;1-2_&#12471;&#12473;&#12486;&#12512;&#38283;&#30330;&#12539;&#25913;&#20462;&#31995;_&#12471;&#12473;&#12486;&#12512;&#20316;&#26989;&#30003;&#35531;&#26360;.xlsx" TargetMode="Externa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C68F-72C5-4614-A51E-1784A3E2BE78}">
  <sheetPr codeName="Sheet1"/>
  <dimension ref="A1:F15"/>
  <sheetViews>
    <sheetView zoomScale="115" zoomScaleNormal="115" workbookViewId="0">
      <selection activeCell="A17" sqref="A17"/>
    </sheetView>
  </sheetViews>
  <sheetFormatPr defaultRowHeight="18.75" x14ac:dyDescent="0.4"/>
  <cols>
    <col min="1" max="1" width="22.5" customWidth="1"/>
    <col min="2" max="2" width="34" customWidth="1"/>
    <col min="3" max="3" width="24.125" customWidth="1"/>
    <col min="4" max="4" width="35.375" customWidth="1"/>
  </cols>
  <sheetData>
    <row r="1" spans="1:6" x14ac:dyDescent="0.4">
      <c r="A1" t="s">
        <v>2</v>
      </c>
    </row>
    <row r="2" spans="1:6" x14ac:dyDescent="0.25">
      <c r="C2" t="s">
        <v>3</v>
      </c>
      <c r="D2" s="1" t="s">
        <v>4</v>
      </c>
      <c r="E2" s="2"/>
      <c r="F2" s="2"/>
    </row>
    <row r="3" spans="1:6" x14ac:dyDescent="0.25">
      <c r="D3" s="1" t="s">
        <v>5</v>
      </c>
      <c r="E3" s="2"/>
      <c r="F3" s="2"/>
    </row>
    <row r="4" spans="1:6" x14ac:dyDescent="0.25">
      <c r="A4" t="s">
        <v>0</v>
      </c>
      <c r="D4" s="1" t="s">
        <v>6</v>
      </c>
      <c r="E4" s="2"/>
      <c r="F4" s="2"/>
    </row>
    <row r="5" spans="1:6" x14ac:dyDescent="0.25">
      <c r="D5" s="1" t="s">
        <v>7</v>
      </c>
      <c r="E5" s="2"/>
      <c r="F5" s="2"/>
    </row>
    <row r="6" spans="1:6" x14ac:dyDescent="0.25">
      <c r="A6" t="s">
        <v>1</v>
      </c>
      <c r="D6" s="1" t="s">
        <v>8</v>
      </c>
      <c r="E6" s="2" t="s">
        <v>15</v>
      </c>
      <c r="F6" s="2"/>
    </row>
    <row r="7" spans="1:6" x14ac:dyDescent="0.25">
      <c r="D7" s="1" t="s">
        <v>9</v>
      </c>
      <c r="E7" s="2"/>
      <c r="F7" s="2"/>
    </row>
    <row r="8" spans="1:6" x14ac:dyDescent="0.25">
      <c r="D8" s="1" t="s">
        <v>10</v>
      </c>
      <c r="E8" s="2"/>
      <c r="F8" s="2"/>
    </row>
    <row r="9" spans="1:6" x14ac:dyDescent="0.25">
      <c r="D9" s="1" t="s">
        <v>11</v>
      </c>
      <c r="E9" s="2"/>
      <c r="F9" s="2"/>
    </row>
    <row r="10" spans="1:6" x14ac:dyDescent="0.25">
      <c r="D10" s="1" t="s">
        <v>12</v>
      </c>
      <c r="E10" s="2" t="s">
        <v>16</v>
      </c>
      <c r="F10" s="2"/>
    </row>
    <row r="11" spans="1:6" x14ac:dyDescent="0.25">
      <c r="D11" s="1" t="s">
        <v>13</v>
      </c>
      <c r="E11" s="2" t="s">
        <v>17</v>
      </c>
      <c r="F11" s="2"/>
    </row>
    <row r="12" spans="1:6" x14ac:dyDescent="0.25">
      <c r="D12" s="1" t="s">
        <v>14</v>
      </c>
      <c r="E12" s="2" t="s">
        <v>18</v>
      </c>
      <c r="F12" s="2" t="s">
        <v>19</v>
      </c>
    </row>
    <row r="13" spans="1:6" x14ac:dyDescent="0.25">
      <c r="D13" s="1"/>
      <c r="E13" s="2"/>
      <c r="F13" s="2"/>
    </row>
    <row r="14" spans="1:6" x14ac:dyDescent="0.25">
      <c r="D14" s="1"/>
      <c r="E14" s="2"/>
      <c r="F14" s="2"/>
    </row>
    <row r="15" spans="1:6" x14ac:dyDescent="0.25">
      <c r="D15" s="1"/>
      <c r="E15" s="2"/>
      <c r="F15" s="2"/>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6F7B-B8D7-4736-BBE9-ACF386F81D80}">
  <sheetPr>
    <pageSetUpPr fitToPage="1"/>
  </sheetPr>
  <dimension ref="A1:N41"/>
  <sheetViews>
    <sheetView zoomScale="70" zoomScaleNormal="70" zoomScaleSheetLayoutView="85" workbookViewId="0">
      <pane ySplit="3" topLeftCell="A16" activePane="bottomLeft" state="frozen"/>
      <selection pane="bottomLeft" activeCell="G12" sqref="G12"/>
    </sheetView>
  </sheetViews>
  <sheetFormatPr defaultColWidth="9" defaultRowHeight="19.5" x14ac:dyDescent="0.4"/>
  <cols>
    <col min="1" max="1" width="9" style="39"/>
    <col min="2" max="2" width="10.375" style="40" bestFit="1" customWidth="1"/>
    <col min="3" max="3" width="18.625" style="39" bestFit="1" customWidth="1"/>
    <col min="4" max="4" width="11.875" style="40" bestFit="1" customWidth="1"/>
    <col min="5" max="5" width="11.875" style="39" bestFit="1" customWidth="1"/>
    <col min="6" max="6" width="9.75" style="39" bestFit="1" customWidth="1"/>
    <col min="7" max="7" width="86" style="39" bestFit="1" customWidth="1"/>
    <col min="8" max="8" width="9" style="40"/>
    <col min="9" max="10" width="7.75" style="40" bestFit="1" customWidth="1"/>
    <col min="11" max="11" width="7.75" style="40" customWidth="1"/>
    <col min="12" max="12" width="142.75" style="39" bestFit="1" customWidth="1"/>
    <col min="13" max="13" width="84.75" style="39" bestFit="1" customWidth="1"/>
    <col min="14" max="14" width="50.875" style="39" bestFit="1" customWidth="1"/>
    <col min="15" max="16384" width="9" style="39"/>
  </cols>
  <sheetData>
    <row r="1" spans="1:14" x14ac:dyDescent="0.4">
      <c r="E1" s="41"/>
    </row>
    <row r="2" spans="1:14" ht="24" x14ac:dyDescent="0.4">
      <c r="A2" s="41"/>
      <c r="B2" s="92" t="s">
        <v>235</v>
      </c>
      <c r="C2" s="93" t="s">
        <v>337</v>
      </c>
      <c r="D2" s="94" t="s">
        <v>341</v>
      </c>
      <c r="E2" s="94" t="s">
        <v>342</v>
      </c>
      <c r="F2" s="94" t="s">
        <v>343</v>
      </c>
      <c r="G2" s="93" t="s">
        <v>36</v>
      </c>
      <c r="H2" s="91" t="s">
        <v>324</v>
      </c>
      <c r="I2" s="91"/>
      <c r="J2" s="91"/>
      <c r="K2" s="91"/>
      <c r="L2" s="87" t="s">
        <v>330</v>
      </c>
      <c r="M2" s="87" t="s">
        <v>344</v>
      </c>
      <c r="N2" s="89" t="s">
        <v>329</v>
      </c>
    </row>
    <row r="3" spans="1:14" x14ac:dyDescent="0.4">
      <c r="B3" s="92"/>
      <c r="C3" s="93"/>
      <c r="D3" s="94"/>
      <c r="E3" s="94"/>
      <c r="F3" s="94"/>
      <c r="G3" s="93"/>
      <c r="H3" s="47" t="s">
        <v>42</v>
      </c>
      <c r="I3" s="48" t="s">
        <v>320</v>
      </c>
      <c r="J3" s="48" t="s">
        <v>43</v>
      </c>
      <c r="K3" s="49" t="s">
        <v>286</v>
      </c>
      <c r="L3" s="88"/>
      <c r="M3" s="88"/>
      <c r="N3" s="90"/>
    </row>
    <row r="4" spans="1:14" ht="19.5" customHeight="1" x14ac:dyDescent="0.45">
      <c r="B4" s="51">
        <f>ROW()-3</f>
        <v>1</v>
      </c>
      <c r="C4" s="52" t="s">
        <v>271</v>
      </c>
      <c r="D4" s="51" t="s">
        <v>275</v>
      </c>
      <c r="E4" s="51" t="s">
        <v>255</v>
      </c>
      <c r="F4" s="52" t="s">
        <v>280</v>
      </c>
      <c r="G4" s="53" t="s">
        <v>222</v>
      </c>
      <c r="H4" s="51" t="s">
        <v>224</v>
      </c>
      <c r="I4" s="51"/>
      <c r="J4" s="51"/>
      <c r="K4" s="51"/>
      <c r="L4" s="67" t="str">
        <f t="shared" ref="L4:L10" si="0">HYPERLINK(システム開発系パス)</f>
        <v>\\svfl1001\ネオトラスト_ファイルサーバ\部門共通\システム関連\0 作業申請書\</v>
      </c>
      <c r="M4" s="52" t="s">
        <v>345</v>
      </c>
      <c r="N4" s="52"/>
    </row>
    <row r="5" spans="1:14" ht="19.5" customHeight="1" x14ac:dyDescent="0.45">
      <c r="B5" s="54">
        <f t="shared" ref="B5:B40" si="1">ROW()-3</f>
        <v>2</v>
      </c>
      <c r="C5" s="55" t="s">
        <v>271</v>
      </c>
      <c r="D5" s="54" t="s">
        <v>275</v>
      </c>
      <c r="E5" s="54" t="s">
        <v>255</v>
      </c>
      <c r="F5" s="73" t="s">
        <v>280</v>
      </c>
      <c r="G5" s="56" t="s">
        <v>221</v>
      </c>
      <c r="H5" s="54" t="s">
        <v>224</v>
      </c>
      <c r="I5" s="54"/>
      <c r="J5" s="54"/>
      <c r="K5" s="54"/>
      <c r="L5" s="67" t="str">
        <f t="shared" si="0"/>
        <v>\\svfl1001\ネオトラスト_ファイルサーバ\部門共通\システム関連\0 作業申請書\</v>
      </c>
      <c r="M5" s="55" t="s">
        <v>346</v>
      </c>
      <c r="N5" s="55"/>
    </row>
    <row r="6" spans="1:14" ht="19.5" customHeight="1" x14ac:dyDescent="0.45">
      <c r="B6" s="54">
        <f t="shared" si="1"/>
        <v>3</v>
      </c>
      <c r="C6" s="55" t="s">
        <v>271</v>
      </c>
      <c r="D6" s="54" t="s">
        <v>274</v>
      </c>
      <c r="E6" s="54" t="s">
        <v>255</v>
      </c>
      <c r="F6" s="73" t="s">
        <v>281</v>
      </c>
      <c r="G6" s="56" t="s">
        <v>221</v>
      </c>
      <c r="H6" s="54" t="s">
        <v>313</v>
      </c>
      <c r="I6" s="54"/>
      <c r="J6" s="54"/>
      <c r="K6" s="54"/>
      <c r="L6" s="67" t="str">
        <f t="shared" si="0"/>
        <v>\\svfl1001\ネオトラスト_ファイルサーバ\部門共通\システム関連\0 作業申請書\</v>
      </c>
      <c r="M6" s="55" t="s">
        <v>346</v>
      </c>
      <c r="N6" s="55"/>
    </row>
    <row r="7" spans="1:14" ht="19.5" customHeight="1" x14ac:dyDescent="0.45">
      <c r="B7" s="54">
        <f t="shared" si="1"/>
        <v>4</v>
      </c>
      <c r="C7" s="55" t="s">
        <v>271</v>
      </c>
      <c r="D7" s="54" t="s">
        <v>275</v>
      </c>
      <c r="E7" s="54" t="s">
        <v>255</v>
      </c>
      <c r="F7" s="73" t="s">
        <v>280</v>
      </c>
      <c r="G7" s="56" t="s">
        <v>285</v>
      </c>
      <c r="H7" s="54" t="s">
        <v>224</v>
      </c>
      <c r="I7" s="54"/>
      <c r="J7" s="54"/>
      <c r="K7" s="54"/>
      <c r="L7" s="67" t="str">
        <f t="shared" si="0"/>
        <v>\\svfl1001\ネオトラスト_ファイルサーバ\部門共通\システム関連\0 作業申請書\</v>
      </c>
      <c r="M7" s="55" t="s">
        <v>347</v>
      </c>
      <c r="N7" s="55"/>
    </row>
    <row r="8" spans="1:14" ht="19.5" customHeight="1" x14ac:dyDescent="0.45">
      <c r="B8" s="54">
        <f t="shared" si="1"/>
        <v>5</v>
      </c>
      <c r="C8" s="55" t="s">
        <v>271</v>
      </c>
      <c r="D8" s="54" t="s">
        <v>274</v>
      </c>
      <c r="E8" s="54" t="s">
        <v>255</v>
      </c>
      <c r="F8" s="73" t="s">
        <v>281</v>
      </c>
      <c r="G8" s="56" t="s">
        <v>315</v>
      </c>
      <c r="H8" s="54" t="s">
        <v>313</v>
      </c>
      <c r="I8" s="54"/>
      <c r="J8" s="54"/>
      <c r="K8" s="54"/>
      <c r="L8" s="67" t="str">
        <f t="shared" si="0"/>
        <v>\\svfl1001\ネオトラスト_ファイルサーバ\部門共通\システム関連\0 作業申請書\</v>
      </c>
      <c r="M8" s="55" t="s">
        <v>347</v>
      </c>
      <c r="N8" s="55"/>
    </row>
    <row r="9" spans="1:14" x14ac:dyDescent="0.45">
      <c r="B9" s="54">
        <f t="shared" si="1"/>
        <v>6</v>
      </c>
      <c r="C9" s="55" t="s">
        <v>271</v>
      </c>
      <c r="D9" s="54" t="s">
        <v>275</v>
      </c>
      <c r="E9" s="54" t="s">
        <v>255</v>
      </c>
      <c r="F9" s="55" t="s">
        <v>280</v>
      </c>
      <c r="G9" s="56" t="s">
        <v>223</v>
      </c>
      <c r="H9" s="54" t="s">
        <v>224</v>
      </c>
      <c r="I9" s="54"/>
      <c r="J9" s="54"/>
      <c r="K9" s="54"/>
      <c r="L9" s="67" t="str">
        <f t="shared" si="0"/>
        <v>\\svfl1001\ネオトラスト_ファイルサーバ\部門共通\システム関連\0 作業申請書\</v>
      </c>
      <c r="M9" s="55" t="s">
        <v>348</v>
      </c>
      <c r="N9" s="55"/>
    </row>
    <row r="10" spans="1:14" x14ac:dyDescent="0.45">
      <c r="B10" s="54">
        <f t="shared" si="1"/>
        <v>7</v>
      </c>
      <c r="C10" s="55" t="s">
        <v>271</v>
      </c>
      <c r="D10" s="54" t="s">
        <v>274</v>
      </c>
      <c r="E10" s="54" t="s">
        <v>255</v>
      </c>
      <c r="F10" s="55" t="s">
        <v>281</v>
      </c>
      <c r="G10" s="56" t="s">
        <v>289</v>
      </c>
      <c r="H10" s="54" t="s">
        <v>212</v>
      </c>
      <c r="I10" s="54"/>
      <c r="J10" s="54"/>
      <c r="K10" s="54"/>
      <c r="L10" s="67" t="str">
        <f t="shared" si="0"/>
        <v>\\svfl1001\ネオトラスト_ファイルサーバ\部門共通\システム関連\0 作業申請書\</v>
      </c>
      <c r="M10" s="55" t="s">
        <v>349</v>
      </c>
      <c r="N10" s="55"/>
    </row>
    <row r="11" spans="1:14" ht="19.5" customHeight="1" x14ac:dyDescent="0.45">
      <c r="B11" s="54">
        <f t="shared" si="1"/>
        <v>8</v>
      </c>
      <c r="C11" s="55" t="s">
        <v>271</v>
      </c>
      <c r="D11" s="54" t="s">
        <v>275</v>
      </c>
      <c r="E11" s="54" t="s">
        <v>269</v>
      </c>
      <c r="F11" s="55" t="s">
        <v>280</v>
      </c>
      <c r="G11" s="56" t="s">
        <v>317</v>
      </c>
      <c r="H11" s="54"/>
      <c r="I11" s="54"/>
      <c r="J11" s="54"/>
      <c r="K11" s="54" t="s">
        <v>212</v>
      </c>
      <c r="L11" s="72"/>
      <c r="M11" s="72"/>
      <c r="N11" s="57" t="s">
        <v>316</v>
      </c>
    </row>
    <row r="12" spans="1:14" ht="19.5" customHeight="1" x14ac:dyDescent="0.45">
      <c r="B12" s="54">
        <f t="shared" si="1"/>
        <v>9</v>
      </c>
      <c r="C12" s="55" t="s">
        <v>271</v>
      </c>
      <c r="D12" s="54" t="s">
        <v>274</v>
      </c>
      <c r="E12" s="54" t="s">
        <v>269</v>
      </c>
      <c r="F12" s="55" t="s">
        <v>280</v>
      </c>
      <c r="G12" s="56" t="s">
        <v>318</v>
      </c>
      <c r="H12" s="54" t="s">
        <v>319</v>
      </c>
      <c r="I12" s="54"/>
      <c r="J12" s="54"/>
      <c r="K12" s="54"/>
      <c r="L12" s="67" t="str">
        <f>HYPERLINK(日々系_社長承認までパス)</f>
        <v>\\svfl1001\ネオトラスト_ファイルサーバ\部門共通\システム関連\0 作業申請書\【試運転中】システム作業申請書_責任者承認まで.xlsx</v>
      </c>
      <c r="M12" s="55" t="s">
        <v>350</v>
      </c>
      <c r="N12" s="55"/>
    </row>
    <row r="13" spans="1:14" ht="19.5" customHeight="1" x14ac:dyDescent="0.45">
      <c r="B13" s="54">
        <f t="shared" si="1"/>
        <v>10</v>
      </c>
      <c r="C13" s="55" t="s">
        <v>271</v>
      </c>
      <c r="D13" s="54" t="s">
        <v>275</v>
      </c>
      <c r="E13" s="54" t="s">
        <v>255</v>
      </c>
      <c r="F13" s="55" t="s">
        <v>281</v>
      </c>
      <c r="G13" s="56" t="s">
        <v>288</v>
      </c>
      <c r="H13" s="54"/>
      <c r="I13" s="54"/>
      <c r="J13" s="54" t="s">
        <v>314</v>
      </c>
      <c r="K13" s="54"/>
      <c r="L13" s="72"/>
      <c r="M13" s="72"/>
      <c r="N13" s="57" t="s">
        <v>316</v>
      </c>
    </row>
    <row r="14" spans="1:14" ht="39" x14ac:dyDescent="0.4">
      <c r="B14" s="54">
        <f t="shared" si="1"/>
        <v>11</v>
      </c>
      <c r="C14" s="55" t="s">
        <v>278</v>
      </c>
      <c r="D14" s="54" t="s">
        <v>269</v>
      </c>
      <c r="E14" s="54" t="s">
        <v>256</v>
      </c>
      <c r="F14" s="55" t="s">
        <v>280</v>
      </c>
      <c r="G14" s="58" t="s">
        <v>291</v>
      </c>
      <c r="H14" s="54"/>
      <c r="I14" s="54" t="s">
        <v>224</v>
      </c>
      <c r="J14" s="54"/>
      <c r="K14" s="54"/>
      <c r="L14" s="67" t="str">
        <f>HYPERLINK(日々系パス)</f>
        <v>\\svfl1001\ネオトラスト_ファイルサーバ\部門共通\システム関連\0 作業申請書\</v>
      </c>
      <c r="M14" s="55" t="s">
        <v>351</v>
      </c>
      <c r="N14" s="55"/>
    </row>
    <row r="15" spans="1:14" ht="39" x14ac:dyDescent="0.45">
      <c r="B15" s="54">
        <f t="shared" si="1"/>
        <v>12</v>
      </c>
      <c r="C15" s="55" t="s">
        <v>278</v>
      </c>
      <c r="D15" s="54" t="s">
        <v>269</v>
      </c>
      <c r="E15" s="54" t="s">
        <v>256</v>
      </c>
      <c r="F15" s="55" t="s">
        <v>280</v>
      </c>
      <c r="G15" s="59" t="s">
        <v>290</v>
      </c>
      <c r="H15" s="54" t="s">
        <v>212</v>
      </c>
      <c r="I15" s="54"/>
      <c r="J15" s="54"/>
      <c r="K15" s="54"/>
      <c r="L15" s="67" t="str">
        <f>HYPERLINK(日々系_社長承認までパス)</f>
        <v>\\svfl1001\ネオトラスト_ファイルサーバ\部門共通\システム関連\0 作業申請書\【試運転中】システム作業申請書_責任者承認まで.xlsx</v>
      </c>
      <c r="M15" s="55" t="s">
        <v>352</v>
      </c>
      <c r="N15" s="55"/>
    </row>
    <row r="16" spans="1:14" ht="58.5" x14ac:dyDescent="0.45">
      <c r="B16" s="54">
        <f t="shared" si="1"/>
        <v>13</v>
      </c>
      <c r="C16" s="55" t="s">
        <v>270</v>
      </c>
      <c r="D16" s="54" t="s">
        <v>274</v>
      </c>
      <c r="E16" s="54" t="s">
        <v>255</v>
      </c>
      <c r="F16" s="55" t="s">
        <v>281</v>
      </c>
      <c r="G16" s="59" t="s">
        <v>292</v>
      </c>
      <c r="H16" s="54"/>
      <c r="I16" s="60" t="s">
        <v>212</v>
      </c>
      <c r="J16" s="54"/>
      <c r="K16" s="54"/>
      <c r="L16" s="67" t="str">
        <f>HYPERLINK(日々系パス)</f>
        <v>\\svfl1001\ネオトラスト_ファイルサーバ\部門共通\システム関連\0 作業申請書\</v>
      </c>
      <c r="M16" s="55" t="s">
        <v>353</v>
      </c>
      <c r="N16" s="55"/>
    </row>
    <row r="17" spans="2:14" ht="173.25" customHeight="1" x14ac:dyDescent="0.4">
      <c r="B17" s="54">
        <f t="shared" si="1"/>
        <v>14</v>
      </c>
      <c r="C17" s="55" t="s">
        <v>270</v>
      </c>
      <c r="D17" s="54" t="s">
        <v>274</v>
      </c>
      <c r="E17" s="54" t="s">
        <v>255</v>
      </c>
      <c r="F17" s="55" t="s">
        <v>281</v>
      </c>
      <c r="G17" s="61" t="s">
        <v>298</v>
      </c>
      <c r="H17" s="54"/>
      <c r="I17" s="54"/>
      <c r="J17" s="60" t="s">
        <v>314</v>
      </c>
      <c r="K17" s="54"/>
      <c r="L17" s="72"/>
      <c r="M17" s="72"/>
      <c r="N17" s="57" t="s">
        <v>316</v>
      </c>
    </row>
    <row r="18" spans="2:14" ht="39" x14ac:dyDescent="0.4">
      <c r="B18" s="54">
        <f t="shared" si="1"/>
        <v>15</v>
      </c>
      <c r="C18" s="55" t="s">
        <v>270</v>
      </c>
      <c r="D18" s="54" t="s">
        <v>274</v>
      </c>
      <c r="E18" s="54" t="s">
        <v>255</v>
      </c>
      <c r="F18" s="55" t="s">
        <v>281</v>
      </c>
      <c r="G18" s="61" t="s">
        <v>299</v>
      </c>
      <c r="H18" s="54"/>
      <c r="I18" s="54" t="s">
        <v>212</v>
      </c>
      <c r="J18" s="54"/>
      <c r="K18" s="54"/>
      <c r="L18" s="67" t="str">
        <f>HYPERLINK(日々系パス)</f>
        <v>\\svfl1001\ネオトラスト_ファイルサーバ\部門共通\システム関連\0 作業申請書\</v>
      </c>
      <c r="M18" s="55" t="s">
        <v>354</v>
      </c>
      <c r="N18" s="55"/>
    </row>
    <row r="19" spans="2:14" ht="39" x14ac:dyDescent="0.4">
      <c r="B19" s="54">
        <f t="shared" si="1"/>
        <v>16</v>
      </c>
      <c r="C19" s="55" t="s">
        <v>270</v>
      </c>
      <c r="D19" s="54" t="s">
        <v>274</v>
      </c>
      <c r="E19" s="54" t="s">
        <v>273</v>
      </c>
      <c r="F19" s="55" t="s">
        <v>281</v>
      </c>
      <c r="G19" s="61" t="s">
        <v>300</v>
      </c>
      <c r="H19" s="54"/>
      <c r="I19" s="54" t="s">
        <v>212</v>
      </c>
      <c r="J19" s="54"/>
      <c r="K19" s="54"/>
      <c r="L19" s="67" t="str">
        <f>HYPERLINK(日々系パス)</f>
        <v>\\svfl1001\ネオトラスト_ファイルサーバ\部門共通\システム関連\0 作業申請書\</v>
      </c>
      <c r="M19" s="55" t="s">
        <v>354</v>
      </c>
      <c r="N19" s="55"/>
    </row>
    <row r="20" spans="2:14" ht="47.25" customHeight="1" x14ac:dyDescent="0.4">
      <c r="B20" s="54">
        <f t="shared" si="1"/>
        <v>17</v>
      </c>
      <c r="C20" s="55" t="s">
        <v>270</v>
      </c>
      <c r="D20" s="54" t="s">
        <v>274</v>
      </c>
      <c r="E20" s="54" t="s">
        <v>255</v>
      </c>
      <c r="F20" s="55" t="s">
        <v>281</v>
      </c>
      <c r="G20" s="62" t="s">
        <v>297</v>
      </c>
      <c r="H20" s="54" t="s">
        <v>226</v>
      </c>
      <c r="I20" s="54"/>
      <c r="J20" s="54"/>
      <c r="K20" s="54"/>
      <c r="L20" s="67" t="str">
        <f>HYPERLINK(日々系_社長承認までパス)</f>
        <v>\\svfl1001\ネオトラスト_ファイルサーバ\部門共通\システム関連\0 作業申請書\【試運転中】システム作業申請書_責任者承認まで.xlsx</v>
      </c>
      <c r="M20" s="55" t="s">
        <v>355</v>
      </c>
      <c r="N20" s="55"/>
    </row>
    <row r="21" spans="2:14" ht="39" x14ac:dyDescent="0.4">
      <c r="B21" s="54">
        <f t="shared" si="1"/>
        <v>18</v>
      </c>
      <c r="C21" s="55" t="s">
        <v>270</v>
      </c>
      <c r="D21" s="54" t="s">
        <v>274</v>
      </c>
      <c r="E21" s="54" t="s">
        <v>255</v>
      </c>
      <c r="F21" s="55" t="s">
        <v>281</v>
      </c>
      <c r="G21" s="62" t="s">
        <v>296</v>
      </c>
      <c r="H21" s="54"/>
      <c r="I21" s="54" t="s">
        <v>212</v>
      </c>
      <c r="J21" s="54"/>
      <c r="K21" s="54"/>
      <c r="L21" s="67" t="str">
        <f>HYPERLINK(日々系パス)</f>
        <v>\\svfl1001\ネオトラスト_ファイルサーバ\部門共通\システム関連\0 作業申請書\</v>
      </c>
      <c r="M21" s="55" t="s">
        <v>354</v>
      </c>
      <c r="N21" s="55"/>
    </row>
    <row r="22" spans="2:14" x14ac:dyDescent="0.4">
      <c r="B22" s="54">
        <f t="shared" si="1"/>
        <v>19</v>
      </c>
      <c r="C22" s="55" t="s">
        <v>270</v>
      </c>
      <c r="D22" s="54" t="s">
        <v>274</v>
      </c>
      <c r="E22" s="54" t="s">
        <v>255</v>
      </c>
      <c r="F22" s="55" t="s">
        <v>280</v>
      </c>
      <c r="G22" s="62" t="s">
        <v>325</v>
      </c>
      <c r="H22" s="54" t="s">
        <v>212</v>
      </c>
      <c r="I22" s="54"/>
      <c r="J22" s="54"/>
      <c r="K22" s="54"/>
      <c r="L22" s="67" t="str">
        <f>HYPERLINK(日々系_社長承認までパス)</f>
        <v>\\svfl1001\ネオトラスト_ファイルサーバ\部門共通\システム関連\0 作業申請書\【試運転中】システム作業申請書_責任者承認まで.xlsx</v>
      </c>
      <c r="M22" s="55" t="s">
        <v>355</v>
      </c>
      <c r="N22" s="55"/>
    </row>
    <row r="23" spans="2:14" x14ac:dyDescent="0.4">
      <c r="B23" s="54">
        <f t="shared" si="1"/>
        <v>20</v>
      </c>
      <c r="C23" s="55" t="s">
        <v>270</v>
      </c>
      <c r="D23" s="54" t="s">
        <v>274</v>
      </c>
      <c r="E23" s="54" t="s">
        <v>255</v>
      </c>
      <c r="F23" s="55" t="s">
        <v>280</v>
      </c>
      <c r="G23" s="62" t="s">
        <v>301</v>
      </c>
      <c r="H23" s="54"/>
      <c r="I23" s="54" t="s">
        <v>212</v>
      </c>
      <c r="J23" s="54"/>
      <c r="K23" s="54"/>
      <c r="L23" s="67" t="str">
        <f>HYPERLINK(日々系パス)</f>
        <v>\\svfl1001\ネオトラスト_ファイルサーバ\部門共通\システム関連\0 作業申請書\</v>
      </c>
      <c r="M23" s="55" t="s">
        <v>354</v>
      </c>
      <c r="N23" s="55"/>
    </row>
    <row r="24" spans="2:14" ht="145.5" customHeight="1" x14ac:dyDescent="0.4">
      <c r="B24" s="54">
        <f t="shared" si="1"/>
        <v>21</v>
      </c>
      <c r="C24" s="55" t="s">
        <v>270</v>
      </c>
      <c r="D24" s="54" t="s">
        <v>274</v>
      </c>
      <c r="E24" s="54" t="s">
        <v>255</v>
      </c>
      <c r="F24" s="55" t="s">
        <v>281</v>
      </c>
      <c r="G24" s="62" t="s">
        <v>321</v>
      </c>
      <c r="H24" s="54" t="s">
        <v>212</v>
      </c>
      <c r="I24" s="54"/>
      <c r="J24" s="54"/>
      <c r="K24" s="54"/>
      <c r="L24" s="67" t="str">
        <f>HYPERLINK(日々系_社長承認までパス)</f>
        <v>\\svfl1001\ネオトラスト_ファイルサーバ\部門共通\システム関連\0 作業申請書\【試運転中】システム作業申請書_責任者承認まで.xlsx</v>
      </c>
      <c r="M24" s="55" t="s">
        <v>356</v>
      </c>
      <c r="N24" s="55"/>
    </row>
    <row r="25" spans="2:14" ht="78" x14ac:dyDescent="0.4">
      <c r="B25" s="54">
        <f t="shared" si="1"/>
        <v>22</v>
      </c>
      <c r="C25" s="55" t="s">
        <v>270</v>
      </c>
      <c r="D25" s="54" t="s">
        <v>274</v>
      </c>
      <c r="E25" s="54" t="s">
        <v>255</v>
      </c>
      <c r="F25" s="55" t="s">
        <v>281</v>
      </c>
      <c r="G25" s="62" t="s">
        <v>302</v>
      </c>
      <c r="H25" s="54"/>
      <c r="I25" s="54" t="s">
        <v>212</v>
      </c>
      <c r="J25" s="54"/>
      <c r="K25" s="54"/>
      <c r="L25" s="67" t="str">
        <f>HYPERLINK(日々系パス)</f>
        <v>\\svfl1001\ネオトラスト_ファイルサーバ\部門共通\システム関連\0 作業申請書\</v>
      </c>
      <c r="M25" s="55" t="s">
        <v>354</v>
      </c>
      <c r="N25" s="55"/>
    </row>
    <row r="26" spans="2:14" ht="97.5" x14ac:dyDescent="0.45">
      <c r="B26" s="54">
        <f t="shared" si="1"/>
        <v>23</v>
      </c>
      <c r="C26" s="55" t="s">
        <v>270</v>
      </c>
      <c r="D26" s="54" t="s">
        <v>274</v>
      </c>
      <c r="E26" s="54" t="s">
        <v>255</v>
      </c>
      <c r="F26" s="55" t="s">
        <v>280</v>
      </c>
      <c r="G26" s="59" t="s">
        <v>328</v>
      </c>
      <c r="H26" s="54"/>
      <c r="I26" s="54" t="s">
        <v>212</v>
      </c>
      <c r="J26" s="54"/>
      <c r="K26" s="54"/>
      <c r="L26" s="67" t="str">
        <f>HYPERLINK(日々系パス)</f>
        <v>\\svfl1001\ネオトラスト_ファイルサーバ\部門共通\システム関連\0 作業申請書\</v>
      </c>
      <c r="M26" s="55" t="s">
        <v>357</v>
      </c>
      <c r="N26" s="55"/>
    </row>
    <row r="27" spans="2:14" ht="78" x14ac:dyDescent="0.45">
      <c r="B27" s="54">
        <f t="shared" si="1"/>
        <v>24</v>
      </c>
      <c r="C27" s="55" t="s">
        <v>270</v>
      </c>
      <c r="D27" s="54" t="s">
        <v>274</v>
      </c>
      <c r="E27" s="54" t="s">
        <v>255</v>
      </c>
      <c r="F27" s="55" t="s">
        <v>280</v>
      </c>
      <c r="G27" s="59" t="s">
        <v>322</v>
      </c>
      <c r="H27" s="54"/>
      <c r="I27" s="54" t="s">
        <v>212</v>
      </c>
      <c r="J27" s="54"/>
      <c r="K27" s="54"/>
      <c r="L27" s="67" t="str">
        <f>HYPERLINK(日々系パス)</f>
        <v>\\svfl1001\ネオトラスト_ファイルサーバ\部門共通\システム関連\0 作業申請書\</v>
      </c>
      <c r="M27" s="55" t="s">
        <v>360</v>
      </c>
      <c r="N27" s="55"/>
    </row>
    <row r="28" spans="2:14" x14ac:dyDescent="0.45">
      <c r="B28" s="54">
        <f t="shared" si="1"/>
        <v>25</v>
      </c>
      <c r="C28" s="55" t="s">
        <v>267</v>
      </c>
      <c r="D28" s="54" t="s">
        <v>274</v>
      </c>
      <c r="E28" s="54" t="s">
        <v>255</v>
      </c>
      <c r="F28" s="55" t="s">
        <v>281</v>
      </c>
      <c r="G28" s="59" t="s">
        <v>311</v>
      </c>
      <c r="H28" s="54"/>
      <c r="I28" s="54" t="s">
        <v>212</v>
      </c>
      <c r="J28" s="54"/>
      <c r="K28" s="54"/>
      <c r="L28" s="70" t="str">
        <f>HYPERLINK(日々系パス)</f>
        <v>\\svfl1001\ネオトラスト_ファイルサーバ\部門共通\システム関連\0 作業申請書\</v>
      </c>
      <c r="M28" s="55" t="s">
        <v>358</v>
      </c>
      <c r="N28" s="57"/>
    </row>
    <row r="29" spans="2:14" x14ac:dyDescent="0.45">
      <c r="B29" s="54">
        <f t="shared" si="1"/>
        <v>26</v>
      </c>
      <c r="C29" s="55" t="s">
        <v>267</v>
      </c>
      <c r="D29" s="54" t="s">
        <v>274</v>
      </c>
      <c r="E29" s="54" t="s">
        <v>255</v>
      </c>
      <c r="F29" s="55" t="s">
        <v>281</v>
      </c>
      <c r="G29" s="59" t="s">
        <v>339</v>
      </c>
      <c r="H29" s="54"/>
      <c r="I29" s="54"/>
      <c r="J29" s="54" t="s">
        <v>212</v>
      </c>
      <c r="K29" s="54"/>
      <c r="L29" s="69"/>
      <c r="M29" s="72"/>
      <c r="N29" s="55" t="s">
        <v>340</v>
      </c>
    </row>
    <row r="30" spans="2:14" x14ac:dyDescent="0.45">
      <c r="B30" s="54">
        <f t="shared" si="1"/>
        <v>27</v>
      </c>
      <c r="C30" s="55" t="s">
        <v>267</v>
      </c>
      <c r="D30" s="54" t="s">
        <v>274</v>
      </c>
      <c r="E30" s="54" t="s">
        <v>255</v>
      </c>
      <c r="F30" s="55" t="s">
        <v>281</v>
      </c>
      <c r="G30" s="59" t="s">
        <v>312</v>
      </c>
      <c r="H30" s="54"/>
      <c r="I30" s="54" t="s">
        <v>212</v>
      </c>
      <c r="J30" s="54"/>
      <c r="K30" s="54"/>
      <c r="L30" s="67" t="str">
        <f>HYPERLINK(日々系パス)</f>
        <v>\\svfl1001\ネオトラスト_ファイルサーバ\部門共通\システム関連\0 作業申請書\</v>
      </c>
      <c r="M30" s="55" t="s">
        <v>359</v>
      </c>
      <c r="N30" s="55"/>
    </row>
    <row r="31" spans="2:14" ht="19.5" customHeight="1" x14ac:dyDescent="0.4">
      <c r="B31" s="54">
        <f t="shared" si="1"/>
        <v>28</v>
      </c>
      <c r="C31" s="55" t="s">
        <v>279</v>
      </c>
      <c r="D31" s="54" t="s">
        <v>274</v>
      </c>
      <c r="E31" s="54" t="s">
        <v>255</v>
      </c>
      <c r="F31" s="55" t="s">
        <v>281</v>
      </c>
      <c r="G31" s="55" t="s">
        <v>284</v>
      </c>
      <c r="H31" s="54"/>
      <c r="I31" s="54" t="s">
        <v>224</v>
      </c>
      <c r="J31" s="54"/>
      <c r="K31" s="54"/>
      <c r="L31" s="67" t="str">
        <f>HYPERLINK(日々系パス)</f>
        <v>\\svfl1001\ネオトラスト_ファイルサーバ\部門共通\システム関連\0 作業申請書\</v>
      </c>
      <c r="M31" s="55" t="s">
        <v>361</v>
      </c>
      <c r="N31" s="55"/>
    </row>
    <row r="32" spans="2:14" x14ac:dyDescent="0.4">
      <c r="B32" s="54">
        <f t="shared" si="1"/>
        <v>29</v>
      </c>
      <c r="C32" s="55" t="s">
        <v>279</v>
      </c>
      <c r="D32" s="54" t="s">
        <v>274</v>
      </c>
      <c r="E32" s="54" t="s">
        <v>255</v>
      </c>
      <c r="F32" s="55" t="s">
        <v>281</v>
      </c>
      <c r="G32" s="55" t="s">
        <v>323</v>
      </c>
      <c r="H32" s="54"/>
      <c r="I32" s="54" t="s">
        <v>224</v>
      </c>
      <c r="J32" s="54"/>
      <c r="K32" s="54"/>
      <c r="L32" s="67" t="str">
        <f>HYPERLINK(日々系パス)</f>
        <v>\\svfl1001\ネオトラスト_ファイルサーバ\部門共通\システム関連\0 作業申請書\</v>
      </c>
      <c r="M32" s="55" t="s">
        <v>360</v>
      </c>
      <c r="N32" s="55"/>
    </row>
    <row r="33" spans="2:14" ht="67.5" customHeight="1" x14ac:dyDescent="0.4">
      <c r="B33" s="54">
        <f t="shared" si="1"/>
        <v>30</v>
      </c>
      <c r="C33" s="55" t="s">
        <v>304</v>
      </c>
      <c r="D33" s="54" t="s">
        <v>275</v>
      </c>
      <c r="E33" s="54" t="s">
        <v>245</v>
      </c>
      <c r="F33" s="55" t="s">
        <v>281</v>
      </c>
      <c r="G33" s="62" t="s">
        <v>303</v>
      </c>
      <c r="H33" s="54"/>
      <c r="I33" s="54" t="s">
        <v>224</v>
      </c>
      <c r="J33" s="54"/>
      <c r="K33" s="54"/>
      <c r="L33" s="67" t="str">
        <f>HYPERLINK(日々系パス)</f>
        <v>\\svfl1001\ネオトラスト_ファイルサーバ\部門共通\システム関連\0 作業申請書\</v>
      </c>
      <c r="M33" s="55" t="s">
        <v>360</v>
      </c>
      <c r="N33" s="55"/>
    </row>
    <row r="34" spans="2:14" x14ac:dyDescent="0.4">
      <c r="B34" s="54">
        <f t="shared" si="1"/>
        <v>31</v>
      </c>
      <c r="C34" s="55" t="s">
        <v>304</v>
      </c>
      <c r="D34" s="54" t="s">
        <v>269</v>
      </c>
      <c r="E34" s="54" t="s">
        <v>269</v>
      </c>
      <c r="F34" s="55" t="s">
        <v>280</v>
      </c>
      <c r="G34" s="62" t="s">
        <v>306</v>
      </c>
      <c r="H34" s="54"/>
      <c r="I34" s="54" t="s">
        <v>212</v>
      </c>
      <c r="J34" s="54"/>
      <c r="K34" s="54"/>
      <c r="L34" s="70" t="str">
        <f>HYPERLINK(日々系パス)</f>
        <v>\\svfl1001\ネオトラスト_ファイルサーバ\部門共通\システム関連\0 作業申請書\</v>
      </c>
      <c r="M34" s="55" t="s">
        <v>362</v>
      </c>
      <c r="N34" s="55"/>
    </row>
    <row r="35" spans="2:14" ht="19.5" customHeight="1" x14ac:dyDescent="0.4">
      <c r="B35" s="54">
        <f t="shared" si="1"/>
        <v>32</v>
      </c>
      <c r="C35" s="55" t="s">
        <v>271</v>
      </c>
      <c r="D35" s="54" t="s">
        <v>274</v>
      </c>
      <c r="E35" s="54" t="s">
        <v>255</v>
      </c>
      <c r="F35" s="55" t="s">
        <v>281</v>
      </c>
      <c r="G35" s="55" t="s">
        <v>307</v>
      </c>
      <c r="H35" s="54"/>
      <c r="I35" s="54"/>
      <c r="J35" s="54" t="s">
        <v>212</v>
      </c>
      <c r="K35" s="54"/>
      <c r="L35" s="72"/>
      <c r="M35" s="72"/>
      <c r="N35" s="57" t="s">
        <v>316</v>
      </c>
    </row>
    <row r="36" spans="2:14" ht="19.5" customHeight="1" x14ac:dyDescent="0.45">
      <c r="B36" s="54">
        <f t="shared" si="1"/>
        <v>33</v>
      </c>
      <c r="C36" s="55" t="s">
        <v>308</v>
      </c>
      <c r="D36" s="54" t="s">
        <v>274</v>
      </c>
      <c r="E36" s="54" t="s">
        <v>255</v>
      </c>
      <c r="F36" s="55" t="s">
        <v>281</v>
      </c>
      <c r="G36" s="56" t="s">
        <v>293</v>
      </c>
      <c r="H36" s="54"/>
      <c r="I36" s="54"/>
      <c r="J36" s="54" t="s">
        <v>314</v>
      </c>
      <c r="K36" s="54"/>
      <c r="L36" s="72"/>
      <c r="M36" s="72"/>
      <c r="N36" s="57" t="s">
        <v>316</v>
      </c>
    </row>
    <row r="37" spans="2:14" ht="19.5" customHeight="1" x14ac:dyDescent="0.45">
      <c r="B37" s="54">
        <f t="shared" si="1"/>
        <v>34</v>
      </c>
      <c r="C37" s="55" t="s">
        <v>308</v>
      </c>
      <c r="D37" s="54" t="s">
        <v>274</v>
      </c>
      <c r="E37" s="54" t="s">
        <v>255</v>
      </c>
      <c r="F37" s="55" t="s">
        <v>281</v>
      </c>
      <c r="G37" s="56" t="s">
        <v>294</v>
      </c>
      <c r="H37" s="54"/>
      <c r="I37" s="54" t="s">
        <v>287</v>
      </c>
      <c r="J37" s="54"/>
      <c r="K37" s="54"/>
      <c r="L37" s="67" t="str">
        <f>HYPERLINK(日々系パス)</f>
        <v>\\svfl1001\ネオトラスト_ファイルサーバ\部門共通\システム関連\0 作業申請書\</v>
      </c>
      <c r="M37" s="55" t="s">
        <v>359</v>
      </c>
      <c r="N37" s="55"/>
    </row>
    <row r="38" spans="2:14" ht="19.5" customHeight="1" x14ac:dyDescent="0.45">
      <c r="B38" s="54">
        <f t="shared" si="1"/>
        <v>35</v>
      </c>
      <c r="C38" s="55" t="s">
        <v>308</v>
      </c>
      <c r="D38" s="54" t="s">
        <v>269</v>
      </c>
      <c r="E38" s="54" t="s">
        <v>269</v>
      </c>
      <c r="F38" s="55" t="s">
        <v>280</v>
      </c>
      <c r="G38" s="56" t="s">
        <v>295</v>
      </c>
      <c r="H38" s="54"/>
      <c r="I38" s="54"/>
      <c r="J38" s="54"/>
      <c r="K38" s="54" t="s">
        <v>287</v>
      </c>
      <c r="L38" s="72"/>
      <c r="M38" s="72"/>
      <c r="N38" s="57" t="s">
        <v>327</v>
      </c>
    </row>
    <row r="39" spans="2:14" ht="66.75" customHeight="1" x14ac:dyDescent="0.4">
      <c r="B39" s="54">
        <f t="shared" si="1"/>
        <v>36</v>
      </c>
      <c r="C39" s="55" t="s">
        <v>308</v>
      </c>
      <c r="D39" s="54" t="s">
        <v>275</v>
      </c>
      <c r="E39" s="54" t="s">
        <v>255</v>
      </c>
      <c r="F39" s="55" t="s">
        <v>281</v>
      </c>
      <c r="G39" s="61" t="s">
        <v>309</v>
      </c>
      <c r="H39" s="54"/>
      <c r="I39" s="54" t="s">
        <v>224</v>
      </c>
      <c r="J39" s="54"/>
      <c r="K39" s="54"/>
      <c r="L39" s="67" t="str">
        <f>HYPERLINK(日々系パス)</f>
        <v>\\svfl1001\ネオトラスト_ファイルサーバ\部門共通\システム関連\0 作業申請書\</v>
      </c>
      <c r="M39" s="55" t="s">
        <v>362</v>
      </c>
      <c r="N39" s="55"/>
    </row>
    <row r="40" spans="2:14" ht="66.75" customHeight="1" x14ac:dyDescent="0.4">
      <c r="B40" s="63">
        <f t="shared" si="1"/>
        <v>37</v>
      </c>
      <c r="C40" s="64" t="s">
        <v>308</v>
      </c>
      <c r="D40" s="63" t="s">
        <v>274</v>
      </c>
      <c r="E40" s="63" t="s">
        <v>256</v>
      </c>
      <c r="F40" s="64" t="s">
        <v>281</v>
      </c>
      <c r="G40" s="65" t="s">
        <v>310</v>
      </c>
      <c r="H40" s="63"/>
      <c r="I40" s="63"/>
      <c r="J40" s="63"/>
      <c r="K40" s="63" t="s">
        <v>212</v>
      </c>
      <c r="L40" s="71"/>
      <c r="M40" s="71"/>
      <c r="N40" s="66" t="s">
        <v>326</v>
      </c>
    </row>
    <row r="41" spans="2:14" x14ac:dyDescent="0.45">
      <c r="E41" s="40"/>
      <c r="G41" s="50"/>
    </row>
  </sheetData>
  <autoFilter ref="B2:N40" xr:uid="{8BB16F7B-B8D7-4736-BBE9-ACF386F81D80}">
    <filterColumn colId="6" showButton="0"/>
    <filterColumn colId="7" showButton="0"/>
    <filterColumn colId="8" showButton="0"/>
  </autoFilter>
  <sortState xmlns:xlrd2="http://schemas.microsoft.com/office/spreadsheetml/2017/richdata2" ref="B35:J35">
    <sortCondition ref="F35"/>
    <sortCondition ref="C35"/>
    <sortCondition ref="B35"/>
  </sortState>
  <mergeCells count="10">
    <mergeCell ref="M2:M3"/>
    <mergeCell ref="N2:N3"/>
    <mergeCell ref="L2:L3"/>
    <mergeCell ref="H2:K2"/>
    <mergeCell ref="B2:B3"/>
    <mergeCell ref="C2:C3"/>
    <mergeCell ref="D2:D3"/>
    <mergeCell ref="E2:E3"/>
    <mergeCell ref="F2:F3"/>
    <mergeCell ref="G2:G3"/>
  </mergeCells>
  <phoneticPr fontId="1"/>
  <pageMargins left="0.7" right="0.7" top="0.75" bottom="0.75" header="0.3" footer="0.3"/>
  <pageSetup paperSize="8" scale="92"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5C229370-BE32-45B1-8F0F-B55CE44189F6}">
          <x14:formula1>
            <xm:f>LISTBOX管理!$C$11:$C$17</xm:f>
          </x14:formula1>
          <xm:sqref>C4:C41</xm:sqref>
        </x14:dataValidation>
        <x14:dataValidation type="list" allowBlank="1" showInputMessage="1" showErrorMessage="1" xr:uid="{00244DD6-2A76-46BC-BE12-E98CE95E54DE}">
          <x14:formula1>
            <xm:f>LISTBOX管理!$D$11:$D$27</xm:f>
          </x14:formula1>
          <xm:sqref>D4:E41</xm:sqref>
        </x14:dataValidation>
        <x14:dataValidation type="list" allowBlank="1" showInputMessage="1" showErrorMessage="1" xr:uid="{AFE81345-E3CB-4D3F-ADA2-FB07CA72ACD0}">
          <x14:formula1>
            <xm:f>LISTBOX管理!$F$11:$F$20</xm:f>
          </x14:formula1>
          <xm:sqref>F4:F41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E1776-DCB8-4542-BE4E-11D06CB25D9D}">
  <dimension ref="A1"/>
  <sheetViews>
    <sheetView workbookViewId="0"/>
  </sheetViews>
  <sheetFormatPr defaultRowHeight="18.75" x14ac:dyDescent="0.4"/>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B9362-465E-4ECE-A15F-F9553C8E1851}">
  <sheetPr>
    <pageSetUpPr fitToPage="1"/>
  </sheetPr>
  <dimension ref="B1:J70"/>
  <sheetViews>
    <sheetView tabSelected="1" zoomScale="85" zoomScaleNormal="85" workbookViewId="0"/>
  </sheetViews>
  <sheetFormatPr defaultRowHeight="18.75" x14ac:dyDescent="0.4"/>
  <cols>
    <col min="2" max="2" width="83.25" customWidth="1"/>
    <col min="3" max="3" width="36.875" customWidth="1"/>
    <col min="4" max="4" width="48.625" customWidth="1"/>
    <col min="5" max="5" width="50" hidden="1" customWidth="1"/>
    <col min="7" max="14" width="0" hidden="1" customWidth="1"/>
  </cols>
  <sheetData>
    <row r="1" spans="2:5" x14ac:dyDescent="0.4">
      <c r="B1" s="77" t="s">
        <v>396</v>
      </c>
    </row>
    <row r="2" spans="2:5" x14ac:dyDescent="0.4">
      <c r="B2" s="75" t="s">
        <v>391</v>
      </c>
    </row>
    <row r="3" spans="2:5" x14ac:dyDescent="0.4">
      <c r="B3" s="75" t="s">
        <v>392</v>
      </c>
    </row>
    <row r="4" spans="2:5" x14ac:dyDescent="0.4">
      <c r="B4" s="76" t="s">
        <v>393</v>
      </c>
    </row>
    <row r="6" spans="2:5" ht="19.5" x14ac:dyDescent="0.4">
      <c r="B6" s="79" t="s">
        <v>395</v>
      </c>
    </row>
    <row r="7" spans="2:5" x14ac:dyDescent="0.4">
      <c r="B7" s="78" t="s">
        <v>366</v>
      </c>
      <c r="C7" s="78" t="s">
        <v>388</v>
      </c>
      <c r="D7" s="78" t="s">
        <v>389</v>
      </c>
      <c r="E7" s="78" t="s">
        <v>400</v>
      </c>
    </row>
    <row r="8" spans="2:5" x14ac:dyDescent="0.4">
      <c r="B8" s="80" t="s">
        <v>390</v>
      </c>
      <c r="C8" s="81" t="s">
        <v>394</v>
      </c>
      <c r="D8" s="81" t="s">
        <v>346</v>
      </c>
      <c r="E8" s="82"/>
    </row>
    <row r="9" spans="2:5" x14ac:dyDescent="0.4">
      <c r="B9" s="80" t="s">
        <v>397</v>
      </c>
      <c r="C9" s="81" t="s">
        <v>394</v>
      </c>
      <c r="D9" s="81" t="s">
        <v>345</v>
      </c>
      <c r="E9" s="82"/>
    </row>
    <row r="10" spans="2:5" x14ac:dyDescent="0.4">
      <c r="B10" s="80" t="s">
        <v>425</v>
      </c>
      <c r="C10" s="81" t="s">
        <v>394</v>
      </c>
      <c r="D10" s="81" t="s">
        <v>367</v>
      </c>
      <c r="E10" s="82"/>
    </row>
    <row r="11" spans="2:5" ht="37.5" x14ac:dyDescent="0.4">
      <c r="B11" s="83" t="s">
        <v>398</v>
      </c>
      <c r="C11" s="81" t="s">
        <v>394</v>
      </c>
      <c r="D11" s="81" t="s">
        <v>368</v>
      </c>
      <c r="E11" s="82"/>
    </row>
    <row r="12" spans="2:5" ht="37.5" x14ac:dyDescent="0.4">
      <c r="B12" s="83" t="s">
        <v>399</v>
      </c>
      <c r="C12" s="81" t="s">
        <v>394</v>
      </c>
      <c r="D12" s="81" t="s">
        <v>369</v>
      </c>
      <c r="E12" s="82"/>
    </row>
    <row r="13" spans="2:5" x14ac:dyDescent="0.4">
      <c r="B13" s="80" t="s">
        <v>401</v>
      </c>
      <c r="C13" s="81" t="s">
        <v>394</v>
      </c>
      <c r="D13" s="81" t="s">
        <v>370</v>
      </c>
      <c r="E13" s="82"/>
    </row>
    <row r="14" spans="2:5" x14ac:dyDescent="0.4">
      <c r="B14" s="80" t="s">
        <v>402</v>
      </c>
      <c r="C14" s="81" t="s">
        <v>394</v>
      </c>
      <c r="D14" s="81" t="s">
        <v>371</v>
      </c>
      <c r="E14" s="82"/>
    </row>
    <row r="34" spans="2:10" ht="25.5" x14ac:dyDescent="0.4">
      <c r="B34" s="86" t="s">
        <v>420</v>
      </c>
    </row>
    <row r="35" spans="2:10" x14ac:dyDescent="0.4">
      <c r="B35" s="78" t="s">
        <v>366</v>
      </c>
      <c r="C35" s="78" t="s">
        <v>388</v>
      </c>
      <c r="D35" s="78" t="s">
        <v>344</v>
      </c>
      <c r="E35" s="78" t="s">
        <v>400</v>
      </c>
      <c r="G35" t="s">
        <v>365</v>
      </c>
    </row>
    <row r="36" spans="2:10" ht="37.5" x14ac:dyDescent="0.4">
      <c r="B36" s="83" t="s">
        <v>403</v>
      </c>
      <c r="C36" s="81" t="s">
        <v>422</v>
      </c>
      <c r="D36" s="84" t="s">
        <v>372</v>
      </c>
      <c r="E36" s="82"/>
    </row>
    <row r="37" spans="2:10" x14ac:dyDescent="0.4">
      <c r="B37" s="80" t="s">
        <v>404</v>
      </c>
      <c r="C37" s="81" t="s">
        <v>422</v>
      </c>
      <c r="D37" s="84" t="s">
        <v>373</v>
      </c>
      <c r="E37" s="82"/>
    </row>
    <row r="38" spans="2:10" x14ac:dyDescent="0.4">
      <c r="B38" s="80" t="s">
        <v>404</v>
      </c>
      <c r="C38" s="81" t="s">
        <v>422</v>
      </c>
      <c r="D38" s="84" t="s">
        <v>374</v>
      </c>
      <c r="E38" s="82"/>
    </row>
    <row r="39" spans="2:10" x14ac:dyDescent="0.4">
      <c r="B39" s="80" t="s">
        <v>405</v>
      </c>
      <c r="C39" s="81" t="s">
        <v>422</v>
      </c>
      <c r="D39" s="84" t="s">
        <v>12</v>
      </c>
      <c r="E39" s="82"/>
      <c r="I39" t="s">
        <v>363</v>
      </c>
      <c r="J39" t="s">
        <v>364</v>
      </c>
    </row>
    <row r="40" spans="2:10" x14ac:dyDescent="0.4">
      <c r="B40" s="80" t="s">
        <v>406</v>
      </c>
      <c r="C40" s="81" t="s">
        <v>422</v>
      </c>
      <c r="D40" s="84" t="s">
        <v>375</v>
      </c>
      <c r="E40" s="82"/>
    </row>
    <row r="41" spans="2:10" x14ac:dyDescent="0.4">
      <c r="B41" s="80" t="s">
        <v>407</v>
      </c>
      <c r="C41" s="81" t="s">
        <v>422</v>
      </c>
      <c r="D41" s="84" t="s">
        <v>376</v>
      </c>
      <c r="E41" s="82"/>
    </row>
    <row r="42" spans="2:10" x14ac:dyDescent="0.4">
      <c r="B42" s="80" t="s">
        <v>408</v>
      </c>
      <c r="C42" s="81" t="s">
        <v>422</v>
      </c>
      <c r="D42" s="84" t="s">
        <v>13</v>
      </c>
      <c r="E42" s="82"/>
    </row>
    <row r="43" spans="2:10" x14ac:dyDescent="0.4">
      <c r="B43" s="80" t="s">
        <v>409</v>
      </c>
      <c r="C43" s="81" t="s">
        <v>422</v>
      </c>
      <c r="D43" s="84" t="s">
        <v>377</v>
      </c>
      <c r="E43" s="82"/>
    </row>
    <row r="44" spans="2:10" ht="37.5" x14ac:dyDescent="0.4">
      <c r="B44" s="83" t="s">
        <v>410</v>
      </c>
      <c r="C44" s="81" t="s">
        <v>422</v>
      </c>
      <c r="D44" s="84" t="s">
        <v>378</v>
      </c>
      <c r="E44" s="82"/>
    </row>
    <row r="45" spans="2:10" x14ac:dyDescent="0.25">
      <c r="B45" s="80" t="s">
        <v>411</v>
      </c>
      <c r="C45" s="81" t="s">
        <v>422</v>
      </c>
      <c r="D45" s="85" t="s">
        <v>379</v>
      </c>
      <c r="E45" s="82"/>
    </row>
    <row r="46" spans="2:10" x14ac:dyDescent="0.25">
      <c r="B46" s="80" t="s">
        <v>412</v>
      </c>
      <c r="C46" s="81" t="s">
        <v>422</v>
      </c>
      <c r="D46" s="85" t="s">
        <v>380</v>
      </c>
      <c r="E46" s="82"/>
    </row>
    <row r="47" spans="2:10" x14ac:dyDescent="0.4">
      <c r="B47" s="80" t="s">
        <v>413</v>
      </c>
      <c r="C47" s="81" t="s">
        <v>422</v>
      </c>
      <c r="D47" s="84" t="s">
        <v>381</v>
      </c>
      <c r="E47" s="82"/>
    </row>
    <row r="48" spans="2:10" x14ac:dyDescent="0.4">
      <c r="B48" s="80" t="s">
        <v>424</v>
      </c>
      <c r="C48" s="81" t="s">
        <v>422</v>
      </c>
      <c r="D48" s="84" t="s">
        <v>14</v>
      </c>
      <c r="E48" s="82"/>
    </row>
    <row r="49" spans="2:5" x14ac:dyDescent="0.4">
      <c r="D49" s="74"/>
    </row>
    <row r="50" spans="2:5" x14ac:dyDescent="0.4">
      <c r="D50" s="74"/>
    </row>
    <row r="51" spans="2:5" x14ac:dyDescent="0.4">
      <c r="D51" s="74"/>
    </row>
    <row r="52" spans="2:5" x14ac:dyDescent="0.4">
      <c r="D52" s="74"/>
    </row>
    <row r="53" spans="2:5" x14ac:dyDescent="0.4">
      <c r="D53" s="74"/>
    </row>
    <row r="54" spans="2:5" x14ac:dyDescent="0.4">
      <c r="D54" s="74"/>
    </row>
    <row r="55" spans="2:5" x14ac:dyDescent="0.4">
      <c r="D55" s="74"/>
    </row>
    <row r="56" spans="2:5" x14ac:dyDescent="0.4">
      <c r="D56" s="74"/>
    </row>
    <row r="63" spans="2:5" ht="25.5" x14ac:dyDescent="0.4">
      <c r="B63" s="86" t="s">
        <v>421</v>
      </c>
    </row>
    <row r="64" spans="2:5" x14ac:dyDescent="0.4">
      <c r="B64" s="78" t="s">
        <v>366</v>
      </c>
      <c r="C64" s="78" t="s">
        <v>388</v>
      </c>
      <c r="D64" s="78" t="s">
        <v>344</v>
      </c>
      <c r="E64" s="78" t="s">
        <v>400</v>
      </c>
    </row>
    <row r="65" spans="2:5" x14ac:dyDescent="0.4">
      <c r="B65" s="80" t="s">
        <v>414</v>
      </c>
      <c r="C65" s="81" t="s">
        <v>423</v>
      </c>
      <c r="D65" s="81" t="s">
        <v>382</v>
      </c>
      <c r="E65" s="82"/>
    </row>
    <row r="66" spans="2:5" ht="37.5" x14ac:dyDescent="0.4">
      <c r="B66" s="83" t="s">
        <v>415</v>
      </c>
      <c r="C66" s="81" t="s">
        <v>423</v>
      </c>
      <c r="D66" s="81" t="s">
        <v>383</v>
      </c>
      <c r="E66" s="82"/>
    </row>
    <row r="67" spans="2:5" x14ac:dyDescent="0.4">
      <c r="B67" s="80" t="s">
        <v>416</v>
      </c>
      <c r="C67" s="81" t="s">
        <v>423</v>
      </c>
      <c r="D67" s="81" t="s">
        <v>384</v>
      </c>
      <c r="E67" s="82"/>
    </row>
    <row r="68" spans="2:5" x14ac:dyDescent="0.4">
      <c r="B68" s="80" t="s">
        <v>417</v>
      </c>
      <c r="C68" s="81" t="s">
        <v>423</v>
      </c>
      <c r="D68" s="81" t="s">
        <v>385</v>
      </c>
      <c r="E68" s="82"/>
    </row>
    <row r="69" spans="2:5" x14ac:dyDescent="0.4">
      <c r="B69" s="80" t="s">
        <v>418</v>
      </c>
      <c r="C69" s="81" t="s">
        <v>423</v>
      </c>
      <c r="D69" s="81" t="s">
        <v>386</v>
      </c>
      <c r="E69" s="82"/>
    </row>
    <row r="70" spans="2:5" x14ac:dyDescent="0.4">
      <c r="B70" s="80" t="s">
        <v>419</v>
      </c>
      <c r="C70" s="81" t="s">
        <v>423</v>
      </c>
      <c r="D70" s="81" t="s">
        <v>387</v>
      </c>
      <c r="E70" s="82"/>
    </row>
  </sheetData>
  <phoneticPr fontId="1"/>
  <hyperlinks>
    <hyperlink ref="B6" r:id="rId1" display="書式１（ハイパーリンク）" xr:uid="{97539EEB-8E99-49D0-867C-28C432DB08C4}"/>
    <hyperlink ref="B34" r:id="rId2" display="書式2-1_書式2-2_書式2-3_日々依頼系_システム作業申請書" xr:uid="{C01F3F93-44AB-42BA-86FD-139093FE63CB}"/>
    <hyperlink ref="B63" r:id="rId3" xr:uid="{C4C55715-FD3E-493C-82D0-03D230576443}"/>
  </hyperlinks>
  <printOptions horizontalCentered="1" verticalCentered="1"/>
  <pageMargins left="0" right="0" top="0" bottom="0" header="0" footer="0"/>
  <pageSetup paperSize="8" scale="68"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8A22D-FE31-4C1D-B4DA-B467CF504B2D}">
  <dimension ref="A1:I4"/>
  <sheetViews>
    <sheetView workbookViewId="0">
      <selection activeCell="I4" sqref="I4"/>
    </sheetView>
  </sheetViews>
  <sheetFormatPr defaultRowHeight="18.75" x14ac:dyDescent="0.4"/>
  <cols>
    <col min="2" max="2" width="15.125" bestFit="1" customWidth="1"/>
    <col min="3" max="3" width="16.25" bestFit="1" customWidth="1"/>
    <col min="8" max="8" width="16.25" bestFit="1" customWidth="1"/>
  </cols>
  <sheetData>
    <row r="1" spans="1:9" x14ac:dyDescent="0.4">
      <c r="H1" s="68" t="s">
        <v>337</v>
      </c>
      <c r="I1" s="68" t="s">
        <v>338</v>
      </c>
    </row>
    <row r="2" spans="1:9" x14ac:dyDescent="0.4">
      <c r="A2" t="s">
        <v>331</v>
      </c>
      <c r="B2" t="s">
        <v>333</v>
      </c>
      <c r="C2" t="s">
        <v>332</v>
      </c>
      <c r="D2" t="s">
        <v>334</v>
      </c>
      <c r="H2" t="s">
        <v>333</v>
      </c>
      <c r="I2" t="str">
        <f>A3&amp;B3</f>
        <v>\\svfl1001\ネオトラスト_ファイルサーバ\部門共通\システム関連\0 作業申請書\</v>
      </c>
    </row>
    <row r="3" spans="1:9" x14ac:dyDescent="0.4">
      <c r="A3" t="s">
        <v>335</v>
      </c>
      <c r="C3" t="s">
        <v>336</v>
      </c>
      <c r="H3" t="s">
        <v>332</v>
      </c>
      <c r="I3" t="str">
        <f>A3&amp;C3</f>
        <v>\\svfl1001\ネオトラスト_ファイルサーバ\部門共通\システム関連\0 作業申請書\【試運転中】システム作業申請書_責任者承認まで.xlsx</v>
      </c>
    </row>
    <row r="4" spans="1:9" x14ac:dyDescent="0.4">
      <c r="H4" t="s">
        <v>334</v>
      </c>
      <c r="I4" t="str">
        <f>A3&amp;D3</f>
        <v>\\svfl1001\ネオトラスト_ファイルサーバ\部門共通\システム関連\0 作業申請書\</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9584-CD1F-4605-A114-1B6425377411}">
  <dimension ref="C9:O27"/>
  <sheetViews>
    <sheetView topLeftCell="B4" workbookViewId="0">
      <selection activeCell="C2" sqref="C2:C3"/>
    </sheetView>
  </sheetViews>
  <sheetFormatPr defaultColWidth="9" defaultRowHeight="19.5" x14ac:dyDescent="0.4"/>
  <cols>
    <col min="1" max="2" width="9" style="39"/>
    <col min="3" max="3" width="18.625" style="39" bestFit="1" customWidth="1"/>
    <col min="4" max="4" width="11.875" style="39" bestFit="1" customWidth="1"/>
    <col min="5" max="5" width="11.875" style="39" customWidth="1"/>
    <col min="6" max="6" width="16.375" style="39" bestFit="1" customWidth="1"/>
    <col min="7" max="7" width="29.625" style="45" bestFit="1" customWidth="1"/>
    <col min="8" max="8" width="20.75" style="45" bestFit="1" customWidth="1"/>
    <col min="9" max="11" width="7.75" style="45" bestFit="1" customWidth="1"/>
    <col min="12" max="12" width="9" style="39"/>
    <col min="13" max="13" width="34.5" style="39" customWidth="1"/>
    <col min="14" max="16384" width="9" style="39"/>
  </cols>
  <sheetData>
    <row r="9" spans="3:15" x14ac:dyDescent="0.4">
      <c r="G9" s="45" t="s">
        <v>283</v>
      </c>
    </row>
    <row r="10" spans="3:15" ht="39" x14ac:dyDescent="0.4">
      <c r="C10" s="42" t="s">
        <v>227</v>
      </c>
      <c r="D10" s="43" t="s">
        <v>276</v>
      </c>
      <c r="E10" s="43" t="s">
        <v>277</v>
      </c>
      <c r="F10" s="43" t="s">
        <v>282</v>
      </c>
      <c r="G10" s="44" t="s">
        <v>227</v>
      </c>
      <c r="H10" s="44" t="s">
        <v>228</v>
      </c>
      <c r="I10" s="44" t="s">
        <v>264</v>
      </c>
      <c r="J10" s="44" t="s">
        <v>265</v>
      </c>
      <c r="K10" s="44" t="s">
        <v>266</v>
      </c>
      <c r="M10" s="39" t="s">
        <v>254</v>
      </c>
    </row>
    <row r="11" spans="3:15" x14ac:dyDescent="0.4">
      <c r="C11" s="39" t="s">
        <v>267</v>
      </c>
      <c r="D11" s="39" t="s">
        <v>255</v>
      </c>
      <c r="E11" s="39" t="s">
        <v>255</v>
      </c>
      <c r="F11" s="39" t="s">
        <v>280</v>
      </c>
      <c r="G11" s="45" t="s">
        <v>231</v>
      </c>
      <c r="H11" s="46" t="s">
        <v>246</v>
      </c>
      <c r="M11" s="39" t="s">
        <v>257</v>
      </c>
    </row>
    <row r="12" spans="3:15" x14ac:dyDescent="0.4">
      <c r="C12" s="39" t="s">
        <v>272</v>
      </c>
      <c r="D12" s="39" t="s">
        <v>256</v>
      </c>
      <c r="E12" s="39" t="s">
        <v>256</v>
      </c>
      <c r="F12" s="39" t="s">
        <v>281</v>
      </c>
      <c r="G12" s="45" t="s">
        <v>232</v>
      </c>
      <c r="H12" s="46" t="s">
        <v>247</v>
      </c>
    </row>
    <row r="13" spans="3:15" x14ac:dyDescent="0.4">
      <c r="C13" s="39" t="s">
        <v>270</v>
      </c>
      <c r="D13" s="39" t="s">
        <v>269</v>
      </c>
      <c r="E13" s="39" t="s">
        <v>269</v>
      </c>
      <c r="G13" s="45" t="s">
        <v>233</v>
      </c>
      <c r="H13" s="46" t="s">
        <v>248</v>
      </c>
      <c r="M13" s="39" t="s">
        <v>258</v>
      </c>
      <c r="N13" s="39" t="s">
        <v>259</v>
      </c>
      <c r="O13" s="39" t="s">
        <v>262</v>
      </c>
    </row>
    <row r="14" spans="3:15" x14ac:dyDescent="0.4">
      <c r="C14" s="39" t="s">
        <v>279</v>
      </c>
      <c r="D14" s="39" t="s">
        <v>245</v>
      </c>
      <c r="E14" s="39" t="s">
        <v>245</v>
      </c>
      <c r="G14" s="45" t="s">
        <v>230</v>
      </c>
      <c r="H14" s="46" t="s">
        <v>249</v>
      </c>
    </row>
    <row r="15" spans="3:15" x14ac:dyDescent="0.4">
      <c r="C15" s="39" t="s">
        <v>278</v>
      </c>
      <c r="D15" s="39" t="s">
        <v>273</v>
      </c>
      <c r="E15" s="39" t="s">
        <v>273</v>
      </c>
      <c r="G15" s="45" t="s">
        <v>229</v>
      </c>
      <c r="H15" s="46" t="s">
        <v>245</v>
      </c>
      <c r="N15" s="39" t="s">
        <v>261</v>
      </c>
    </row>
    <row r="16" spans="3:15" x14ac:dyDescent="0.4">
      <c r="C16" s="39" t="s">
        <v>305</v>
      </c>
      <c r="D16" s="39" t="s">
        <v>274</v>
      </c>
      <c r="E16" s="39" t="s">
        <v>274</v>
      </c>
      <c r="G16" s="45" t="s">
        <v>234</v>
      </c>
      <c r="H16" s="45" t="s">
        <v>250</v>
      </c>
    </row>
    <row r="17" spans="3:15" x14ac:dyDescent="0.4">
      <c r="C17" s="39" t="s">
        <v>308</v>
      </c>
      <c r="G17" s="45" t="s">
        <v>268</v>
      </c>
      <c r="H17" s="45" t="s">
        <v>251</v>
      </c>
    </row>
    <row r="18" spans="3:15" x14ac:dyDescent="0.4">
      <c r="G18" s="45" t="s">
        <v>236</v>
      </c>
      <c r="H18" s="45" t="s">
        <v>252</v>
      </c>
      <c r="N18" s="39" t="s">
        <v>260</v>
      </c>
      <c r="O18" s="39" t="s">
        <v>263</v>
      </c>
    </row>
    <row r="19" spans="3:15" x14ac:dyDescent="0.4">
      <c r="G19" s="45" t="s">
        <v>237</v>
      </c>
    </row>
    <row r="20" spans="3:15" x14ac:dyDescent="0.4">
      <c r="G20" s="45" t="s">
        <v>238</v>
      </c>
    </row>
    <row r="21" spans="3:15" x14ac:dyDescent="0.4">
      <c r="G21" s="45" t="s">
        <v>239</v>
      </c>
    </row>
    <row r="22" spans="3:15" x14ac:dyDescent="0.4">
      <c r="G22" s="45" t="s">
        <v>240</v>
      </c>
    </row>
    <row r="23" spans="3:15" x14ac:dyDescent="0.4">
      <c r="G23" s="45" t="s">
        <v>241</v>
      </c>
    </row>
    <row r="24" spans="3:15" x14ac:dyDescent="0.4">
      <c r="G24" s="45" t="s">
        <v>242</v>
      </c>
    </row>
    <row r="25" spans="3:15" x14ac:dyDescent="0.4">
      <c r="G25" s="45" t="s">
        <v>243</v>
      </c>
    </row>
    <row r="26" spans="3:15" x14ac:dyDescent="0.4">
      <c r="G26" s="45" t="s">
        <v>244</v>
      </c>
    </row>
    <row r="27" spans="3:15" x14ac:dyDescent="0.4">
      <c r="G27" s="45" t="s">
        <v>253</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DAFA-C1C6-4CB5-B37C-ACA983837B5B}">
  <dimension ref="A1:H249"/>
  <sheetViews>
    <sheetView zoomScale="85" zoomScaleNormal="85" workbookViewId="0">
      <pane xSplit="2" ySplit="2" topLeftCell="C30" activePane="bottomRight" state="frozen"/>
      <selection activeCell="C2" sqref="C2:C3"/>
      <selection pane="topRight" activeCell="C2" sqref="C2:C3"/>
      <selection pane="bottomLeft" activeCell="C2" sqref="C2:C3"/>
      <selection pane="bottomRight" activeCell="C2" sqref="C2:C3"/>
    </sheetView>
  </sheetViews>
  <sheetFormatPr defaultRowHeight="18.75" x14ac:dyDescent="0.4"/>
  <cols>
    <col min="2" max="2" width="40" customWidth="1"/>
    <col min="3" max="3" width="8.375" customWidth="1"/>
    <col min="4" max="4" width="84.375" customWidth="1"/>
    <col min="5" max="5" width="12.375" style="25" customWidth="1"/>
    <col min="6" max="6" width="11.875" style="25" customWidth="1"/>
    <col min="7" max="7" width="13.75" style="25" customWidth="1"/>
  </cols>
  <sheetData>
    <row r="1" spans="1:8" ht="24" x14ac:dyDescent="0.4">
      <c r="A1" s="35" t="s">
        <v>225</v>
      </c>
    </row>
    <row r="2" spans="1:8" ht="20.25" customHeight="1" thickBot="1" x14ac:dyDescent="0.45">
      <c r="A2" s="35"/>
      <c r="B2" s="14" t="s">
        <v>37</v>
      </c>
      <c r="C2" s="98" t="s">
        <v>36</v>
      </c>
      <c r="D2" s="99"/>
      <c r="E2" s="31" t="s">
        <v>42</v>
      </c>
      <c r="F2" s="31" t="s">
        <v>41</v>
      </c>
      <c r="G2" s="31" t="s">
        <v>43</v>
      </c>
    </row>
    <row r="3" spans="1:8" ht="39" customHeight="1" x14ac:dyDescent="0.4">
      <c r="B3" s="34" t="s">
        <v>23</v>
      </c>
      <c r="C3" s="108" t="s">
        <v>219</v>
      </c>
      <c r="D3" s="109"/>
      <c r="E3" s="26" t="s">
        <v>212</v>
      </c>
      <c r="F3" s="26" t="s">
        <v>212</v>
      </c>
      <c r="G3" s="26" t="s">
        <v>212</v>
      </c>
    </row>
    <row r="4" spans="1:8" ht="41.25" customHeight="1" x14ac:dyDescent="0.4">
      <c r="B4" s="15" t="s">
        <v>50</v>
      </c>
      <c r="C4" s="110" t="s">
        <v>51</v>
      </c>
      <c r="D4" s="111"/>
      <c r="E4" s="26"/>
      <c r="G4" s="27"/>
    </row>
    <row r="5" spans="1:8" x14ac:dyDescent="0.4">
      <c r="B5" s="16" t="s">
        <v>52</v>
      </c>
      <c r="C5" s="100" t="s">
        <v>53</v>
      </c>
      <c r="D5" s="101"/>
      <c r="E5" s="26"/>
      <c r="G5" s="27"/>
      <c r="H5" t="s">
        <v>218</v>
      </c>
    </row>
    <row r="6" spans="1:8" x14ac:dyDescent="0.4">
      <c r="B6" s="16"/>
      <c r="C6" s="102"/>
      <c r="D6" s="103"/>
      <c r="E6" s="26"/>
      <c r="G6" s="27"/>
    </row>
    <row r="7" spans="1:8" x14ac:dyDescent="0.4">
      <c r="B7" s="16"/>
      <c r="C7" s="102"/>
      <c r="D7" s="103"/>
      <c r="E7" s="26"/>
      <c r="G7" s="27"/>
    </row>
    <row r="8" spans="1:8" x14ac:dyDescent="0.4">
      <c r="B8" s="16"/>
      <c r="C8" s="102"/>
      <c r="D8" s="103"/>
      <c r="E8" s="26"/>
      <c r="G8" s="27"/>
    </row>
    <row r="9" spans="1:8" x14ac:dyDescent="0.4">
      <c r="B9" s="16"/>
      <c r="C9" s="102"/>
      <c r="D9" s="103"/>
      <c r="E9" s="26"/>
      <c r="G9" s="27"/>
    </row>
    <row r="10" spans="1:8" x14ac:dyDescent="0.4">
      <c r="B10" s="16"/>
      <c r="C10" s="102"/>
      <c r="D10" s="103"/>
      <c r="E10" s="26"/>
      <c r="G10" s="27"/>
    </row>
    <row r="11" spans="1:8" x14ac:dyDescent="0.4">
      <c r="B11" s="16"/>
      <c r="C11" s="102"/>
      <c r="D11" s="103"/>
      <c r="E11" s="26"/>
      <c r="G11" s="27"/>
    </row>
    <row r="12" spans="1:8" x14ac:dyDescent="0.4">
      <c r="B12" s="16"/>
      <c r="C12" s="102"/>
      <c r="D12" s="103"/>
      <c r="E12" s="26"/>
      <c r="G12" s="27"/>
    </row>
    <row r="13" spans="1:8" x14ac:dyDescent="0.4">
      <c r="B13" s="16"/>
      <c r="C13" s="102"/>
      <c r="D13" s="103"/>
      <c r="E13" s="26"/>
      <c r="G13" s="27"/>
    </row>
    <row r="14" spans="1:8" x14ac:dyDescent="0.4">
      <c r="B14" s="16"/>
      <c r="C14" s="102"/>
      <c r="D14" s="103"/>
      <c r="E14" s="26"/>
      <c r="G14" s="27"/>
    </row>
    <row r="15" spans="1:8" x14ac:dyDescent="0.4">
      <c r="B15" s="16"/>
      <c r="C15" s="102"/>
      <c r="D15" s="103"/>
      <c r="E15" s="26"/>
      <c r="G15" s="27"/>
    </row>
    <row r="16" spans="1:8" x14ac:dyDescent="0.4">
      <c r="B16" s="16"/>
      <c r="C16" s="102"/>
      <c r="D16" s="103"/>
      <c r="E16" s="26"/>
      <c r="G16" s="27"/>
    </row>
    <row r="17" spans="2:7" ht="58.5" customHeight="1" x14ac:dyDescent="0.4">
      <c r="B17" s="16"/>
      <c r="C17" s="104"/>
      <c r="D17" s="105"/>
      <c r="E17" s="26"/>
      <c r="G17" s="27"/>
    </row>
    <row r="18" spans="2:7" x14ac:dyDescent="0.4">
      <c r="B18" s="16" t="s">
        <v>54</v>
      </c>
      <c r="C18" s="9"/>
      <c r="D18" s="12"/>
      <c r="E18" s="26"/>
      <c r="G18" s="27"/>
    </row>
    <row r="19" spans="2:7" x14ac:dyDescent="0.4">
      <c r="B19" s="16"/>
      <c r="C19" s="13" t="s">
        <v>55</v>
      </c>
      <c r="D19" s="12"/>
      <c r="E19" s="26"/>
      <c r="G19" s="27"/>
    </row>
    <row r="20" spans="2:7" x14ac:dyDescent="0.4">
      <c r="B20" s="16"/>
      <c r="C20" s="13" t="s">
        <v>217</v>
      </c>
      <c r="D20" s="12"/>
      <c r="E20" s="26"/>
      <c r="G20" s="27" t="s">
        <v>212</v>
      </c>
    </row>
    <row r="21" spans="2:7" x14ac:dyDescent="0.4">
      <c r="B21" s="16"/>
      <c r="C21" s="13" t="s">
        <v>56</v>
      </c>
      <c r="D21" s="12"/>
      <c r="E21" s="26"/>
      <c r="G21" s="27"/>
    </row>
    <row r="22" spans="2:7" x14ac:dyDescent="0.4">
      <c r="B22" s="16"/>
      <c r="C22" s="13" t="s">
        <v>57</v>
      </c>
      <c r="D22" s="12"/>
      <c r="E22" s="26"/>
      <c r="G22" s="27"/>
    </row>
    <row r="23" spans="2:7" x14ac:dyDescent="0.4">
      <c r="B23" s="16"/>
      <c r="C23" s="13" t="s">
        <v>58</v>
      </c>
      <c r="D23" s="12"/>
      <c r="E23" s="26"/>
      <c r="G23" s="27"/>
    </row>
    <row r="24" spans="2:7" x14ac:dyDescent="0.4">
      <c r="B24" s="16"/>
      <c r="C24" s="13" t="s">
        <v>59</v>
      </c>
      <c r="D24" s="12"/>
      <c r="E24" s="26"/>
      <c r="G24" s="27"/>
    </row>
    <row r="25" spans="2:7" x14ac:dyDescent="0.4">
      <c r="B25" s="16"/>
      <c r="C25" s="13" t="s">
        <v>60</v>
      </c>
      <c r="D25" s="12"/>
      <c r="E25" s="26"/>
      <c r="G25" s="27"/>
    </row>
    <row r="26" spans="2:7" x14ac:dyDescent="0.4">
      <c r="B26" s="16"/>
      <c r="C26" s="13" t="s">
        <v>61</v>
      </c>
      <c r="D26" s="12"/>
      <c r="E26" s="26"/>
      <c r="G26" s="27"/>
    </row>
    <row r="27" spans="2:7" x14ac:dyDescent="0.4">
      <c r="B27" s="16"/>
      <c r="C27" s="13" t="s">
        <v>62</v>
      </c>
      <c r="D27" s="12"/>
      <c r="E27" s="26"/>
      <c r="G27" s="27"/>
    </row>
    <row r="28" spans="2:7" x14ac:dyDescent="0.4">
      <c r="B28" s="16"/>
      <c r="C28" s="13" t="s">
        <v>63</v>
      </c>
      <c r="D28" s="12"/>
      <c r="E28" s="26"/>
      <c r="G28" s="27"/>
    </row>
    <row r="29" spans="2:7" x14ac:dyDescent="0.4">
      <c r="B29" s="16"/>
      <c r="C29" s="13" t="s">
        <v>64</v>
      </c>
      <c r="D29" s="12"/>
      <c r="E29" s="26"/>
      <c r="G29" s="27"/>
    </row>
    <row r="30" spans="2:7" x14ac:dyDescent="0.4">
      <c r="B30" s="16"/>
      <c r="C30" s="13" t="s">
        <v>65</v>
      </c>
      <c r="D30" s="12"/>
      <c r="E30" s="26"/>
      <c r="G30" s="27"/>
    </row>
    <row r="31" spans="2:7" x14ac:dyDescent="0.4">
      <c r="B31" s="16"/>
      <c r="C31" s="13" t="s">
        <v>66</v>
      </c>
      <c r="D31" s="12"/>
      <c r="E31" s="26"/>
      <c r="G31" s="27"/>
    </row>
    <row r="32" spans="2:7" x14ac:dyDescent="0.4">
      <c r="B32" s="16"/>
      <c r="C32" s="13" t="s">
        <v>67</v>
      </c>
      <c r="D32" s="12"/>
      <c r="E32" s="26"/>
      <c r="G32" s="27"/>
    </row>
    <row r="33" spans="2:7" x14ac:dyDescent="0.4">
      <c r="B33" s="16"/>
      <c r="C33" s="13" t="s">
        <v>68</v>
      </c>
      <c r="D33" s="12"/>
      <c r="E33" s="26"/>
      <c r="G33" s="27"/>
    </row>
    <row r="34" spans="2:7" x14ac:dyDescent="0.4">
      <c r="B34" s="16"/>
      <c r="C34" s="13" t="s">
        <v>69</v>
      </c>
      <c r="D34" s="12"/>
      <c r="E34" s="26"/>
      <c r="G34" s="27"/>
    </row>
    <row r="35" spans="2:7" x14ac:dyDescent="0.4">
      <c r="B35" s="16"/>
      <c r="C35" s="13" t="s">
        <v>70</v>
      </c>
      <c r="D35" s="12"/>
      <c r="E35" s="26"/>
      <c r="G35" s="27"/>
    </row>
    <row r="36" spans="2:7" x14ac:dyDescent="0.4">
      <c r="B36" s="16"/>
      <c r="C36" s="13" t="s">
        <v>71</v>
      </c>
      <c r="D36" s="12"/>
      <c r="E36" s="26"/>
      <c r="G36" s="27"/>
    </row>
    <row r="37" spans="2:7" x14ac:dyDescent="0.4">
      <c r="B37" s="16"/>
      <c r="C37" s="13" t="s">
        <v>72</v>
      </c>
      <c r="D37" s="12"/>
      <c r="E37" s="26"/>
      <c r="G37" s="27"/>
    </row>
    <row r="38" spans="2:7" x14ac:dyDescent="0.4">
      <c r="B38" s="16"/>
      <c r="C38" s="13" t="s">
        <v>73</v>
      </c>
      <c r="D38" s="12"/>
      <c r="E38" s="26"/>
      <c r="G38" s="27"/>
    </row>
    <row r="39" spans="2:7" x14ac:dyDescent="0.4">
      <c r="B39" s="16"/>
      <c r="C39" s="9"/>
      <c r="D39" s="12"/>
      <c r="E39" s="26"/>
      <c r="G39" s="27"/>
    </row>
    <row r="40" spans="2:7" x14ac:dyDescent="0.4">
      <c r="B40" s="16"/>
      <c r="C40" s="9"/>
      <c r="D40" s="12"/>
      <c r="E40" s="26"/>
      <c r="G40" s="27"/>
    </row>
    <row r="41" spans="2:7" x14ac:dyDescent="0.4">
      <c r="B41" s="16"/>
      <c r="C41" s="9"/>
      <c r="D41" s="12"/>
      <c r="E41" s="26"/>
      <c r="G41" s="27"/>
    </row>
    <row r="42" spans="2:7" x14ac:dyDescent="0.4">
      <c r="B42" s="95" t="s">
        <v>24</v>
      </c>
      <c r="C42" s="4" t="s">
        <v>32</v>
      </c>
      <c r="D42" s="23"/>
      <c r="E42" s="26"/>
      <c r="G42" s="27"/>
    </row>
    <row r="43" spans="2:7" x14ac:dyDescent="0.4">
      <c r="B43" s="96"/>
      <c r="C43" s="6" t="s">
        <v>33</v>
      </c>
      <c r="D43" s="10"/>
      <c r="E43" s="26"/>
      <c r="G43" s="27"/>
    </row>
    <row r="44" spans="2:7" x14ac:dyDescent="0.4">
      <c r="B44" s="96"/>
      <c r="C44" s="6" t="s">
        <v>34</v>
      </c>
      <c r="D44" s="10"/>
      <c r="E44" s="26"/>
      <c r="G44" s="27"/>
    </row>
    <row r="45" spans="2:7" x14ac:dyDescent="0.4">
      <c r="B45" s="96"/>
      <c r="C45" s="6" t="s">
        <v>35</v>
      </c>
      <c r="D45" s="10"/>
      <c r="E45" s="26"/>
      <c r="G45" s="27"/>
    </row>
    <row r="46" spans="2:7" x14ac:dyDescent="0.4">
      <c r="B46" s="97"/>
      <c r="C46" s="7"/>
      <c r="D46" s="22"/>
      <c r="E46" s="26" t="s">
        <v>212</v>
      </c>
      <c r="G46" s="27"/>
    </row>
    <row r="47" spans="2:7" x14ac:dyDescent="0.4">
      <c r="B47" s="95" t="s">
        <v>25</v>
      </c>
      <c r="C47" s="4" t="s">
        <v>40</v>
      </c>
      <c r="D47" s="23"/>
      <c r="E47" s="26"/>
      <c r="G47" s="27"/>
    </row>
    <row r="48" spans="2:7" x14ac:dyDescent="0.4">
      <c r="B48" s="96"/>
      <c r="C48" s="6" t="s">
        <v>74</v>
      </c>
      <c r="D48" s="10"/>
      <c r="E48" s="26"/>
      <c r="G48" s="27"/>
    </row>
    <row r="49" spans="2:7" x14ac:dyDescent="0.4">
      <c r="B49" s="96"/>
      <c r="C49" s="6" t="s">
        <v>75</v>
      </c>
      <c r="D49" s="10"/>
      <c r="E49" s="26"/>
      <c r="G49" s="27"/>
    </row>
    <row r="50" spans="2:7" x14ac:dyDescent="0.4">
      <c r="B50" s="96"/>
      <c r="C50" s="6" t="s">
        <v>76</v>
      </c>
      <c r="D50" s="10"/>
      <c r="E50" s="26"/>
      <c r="G50" s="27"/>
    </row>
    <row r="51" spans="2:7" x14ac:dyDescent="0.4">
      <c r="B51" s="96"/>
      <c r="C51" s="6" t="s">
        <v>77</v>
      </c>
      <c r="D51" s="10"/>
      <c r="E51" s="26"/>
      <c r="G51" s="27"/>
    </row>
    <row r="52" spans="2:7" x14ac:dyDescent="0.4">
      <c r="B52" s="96"/>
      <c r="C52" s="6" t="s">
        <v>78</v>
      </c>
      <c r="D52" s="10"/>
      <c r="E52" s="26"/>
      <c r="G52" s="27"/>
    </row>
    <row r="53" spans="2:7" x14ac:dyDescent="0.4">
      <c r="B53" s="96"/>
      <c r="C53" s="6" t="s">
        <v>79</v>
      </c>
      <c r="D53" s="10"/>
      <c r="E53" s="26"/>
      <c r="G53" s="27"/>
    </row>
    <row r="54" spans="2:7" x14ac:dyDescent="0.4">
      <c r="B54" s="96"/>
      <c r="C54" s="6" t="s">
        <v>80</v>
      </c>
      <c r="D54" s="10"/>
      <c r="E54" s="26"/>
      <c r="G54" s="27"/>
    </row>
    <row r="55" spans="2:7" x14ac:dyDescent="0.4">
      <c r="B55" s="96"/>
      <c r="C55" s="6" t="s">
        <v>81</v>
      </c>
      <c r="D55" s="10"/>
      <c r="E55" s="26"/>
      <c r="G55" s="27"/>
    </row>
    <row r="56" spans="2:7" x14ac:dyDescent="0.4">
      <c r="B56" s="97"/>
      <c r="C56" s="8"/>
      <c r="D56" s="24"/>
      <c r="E56" s="28"/>
      <c r="F56" s="29"/>
      <c r="G56" s="30"/>
    </row>
    <row r="57" spans="2:7" x14ac:dyDescent="0.4">
      <c r="B57" s="16" t="s">
        <v>44</v>
      </c>
      <c r="C57" s="5" t="s">
        <v>45</v>
      </c>
      <c r="D57" s="11"/>
      <c r="E57" s="26"/>
      <c r="G57" s="27"/>
    </row>
    <row r="58" spans="2:7" x14ac:dyDescent="0.4">
      <c r="B58" s="16"/>
      <c r="C58" s="5" t="s">
        <v>46</v>
      </c>
      <c r="D58" s="11"/>
      <c r="E58" s="26"/>
      <c r="G58" s="27"/>
    </row>
    <row r="59" spans="2:7" x14ac:dyDescent="0.4">
      <c r="B59" s="16"/>
      <c r="C59" s="5" t="s">
        <v>47</v>
      </c>
      <c r="D59" s="11"/>
      <c r="E59" s="26"/>
      <c r="G59" s="27"/>
    </row>
    <row r="60" spans="2:7" x14ac:dyDescent="0.4">
      <c r="B60" s="16"/>
      <c r="C60" s="5" t="s">
        <v>48</v>
      </c>
      <c r="D60" s="11"/>
      <c r="E60" s="26"/>
      <c r="G60" s="27"/>
    </row>
    <row r="61" spans="2:7" x14ac:dyDescent="0.4">
      <c r="B61" s="16"/>
      <c r="C61" s="5" t="s">
        <v>49</v>
      </c>
      <c r="D61" s="11"/>
      <c r="E61" s="26"/>
      <c r="G61" s="27"/>
    </row>
    <row r="62" spans="2:7" x14ac:dyDescent="0.4">
      <c r="B62" s="95" t="s">
        <v>26</v>
      </c>
      <c r="C62" s="4" t="s">
        <v>82</v>
      </c>
      <c r="D62" s="23"/>
      <c r="E62" s="26"/>
      <c r="G62" s="27"/>
    </row>
    <row r="63" spans="2:7" x14ac:dyDescent="0.4">
      <c r="B63" s="96"/>
      <c r="C63" s="6" t="s">
        <v>83</v>
      </c>
      <c r="D63" s="10"/>
      <c r="E63" s="26"/>
      <c r="G63" s="27"/>
    </row>
    <row r="64" spans="2:7" x14ac:dyDescent="0.4">
      <c r="B64" s="96"/>
      <c r="C64" s="32" t="s">
        <v>84</v>
      </c>
      <c r="D64" s="33"/>
      <c r="E64" s="26"/>
      <c r="G64" s="27"/>
    </row>
    <row r="65" spans="2:7" x14ac:dyDescent="0.4">
      <c r="B65" s="96"/>
      <c r="C65" s="6" t="s">
        <v>85</v>
      </c>
      <c r="D65" s="10"/>
      <c r="E65" s="26"/>
      <c r="G65" s="27"/>
    </row>
    <row r="66" spans="2:7" x14ac:dyDescent="0.4">
      <c r="B66" s="96"/>
      <c r="C66" s="6" t="s">
        <v>86</v>
      </c>
      <c r="D66" s="10"/>
      <c r="E66" s="26"/>
      <c r="G66" s="27"/>
    </row>
    <row r="67" spans="2:7" x14ac:dyDescent="0.4">
      <c r="B67" s="96"/>
      <c r="C67" s="6" t="s">
        <v>87</v>
      </c>
      <c r="D67" s="10"/>
      <c r="E67" s="26"/>
      <c r="G67" s="27"/>
    </row>
    <row r="68" spans="2:7" x14ac:dyDescent="0.4">
      <c r="B68" s="96"/>
      <c r="C68" s="6" t="s">
        <v>88</v>
      </c>
      <c r="D68" s="10"/>
      <c r="E68" s="26"/>
      <c r="G68" s="27"/>
    </row>
    <row r="69" spans="2:7" x14ac:dyDescent="0.4">
      <c r="B69" s="96"/>
      <c r="C69" s="6" t="s">
        <v>89</v>
      </c>
      <c r="D69" s="10"/>
      <c r="E69" s="26"/>
      <c r="G69" s="27"/>
    </row>
    <row r="70" spans="2:7" x14ac:dyDescent="0.4">
      <c r="B70" s="96"/>
      <c r="C70" s="6" t="s">
        <v>90</v>
      </c>
      <c r="D70" s="10"/>
      <c r="E70" s="26"/>
      <c r="G70" s="27"/>
    </row>
    <row r="71" spans="2:7" x14ac:dyDescent="0.4">
      <c r="B71" s="96"/>
      <c r="C71" s="6" t="s">
        <v>91</v>
      </c>
      <c r="D71" s="10"/>
      <c r="E71" s="26"/>
      <c r="G71" s="27"/>
    </row>
    <row r="72" spans="2:7" x14ac:dyDescent="0.4">
      <c r="B72" s="96"/>
      <c r="C72" s="6" t="s">
        <v>92</v>
      </c>
      <c r="D72" s="10"/>
      <c r="E72" s="26"/>
      <c r="G72" s="27"/>
    </row>
    <row r="73" spans="2:7" x14ac:dyDescent="0.4">
      <c r="B73" s="96"/>
      <c r="C73" s="6" t="s">
        <v>93</v>
      </c>
      <c r="D73" s="10"/>
      <c r="E73" s="26"/>
      <c r="G73" s="27"/>
    </row>
    <row r="74" spans="2:7" x14ac:dyDescent="0.4">
      <c r="B74" s="96"/>
      <c r="C74" s="6"/>
      <c r="D74" s="10"/>
      <c r="E74" s="26"/>
      <c r="G74" s="27"/>
    </row>
    <row r="75" spans="2:7" x14ac:dyDescent="0.4">
      <c r="B75" s="97"/>
      <c r="C75" s="7"/>
      <c r="D75" s="22"/>
      <c r="E75" s="26"/>
      <c r="G75" s="27"/>
    </row>
    <row r="76" spans="2:7" x14ac:dyDescent="0.4">
      <c r="B76" s="16" t="s">
        <v>94</v>
      </c>
      <c r="C76" s="5" t="s">
        <v>95</v>
      </c>
      <c r="D76" s="11"/>
      <c r="E76" s="26"/>
      <c r="G76" s="27"/>
    </row>
    <row r="77" spans="2:7" x14ac:dyDescent="0.4">
      <c r="B77" s="16"/>
      <c r="C77" s="5" t="s">
        <v>96</v>
      </c>
      <c r="D77" s="11"/>
      <c r="E77" s="26"/>
      <c r="G77" s="27"/>
    </row>
    <row r="78" spans="2:7" x14ac:dyDescent="0.4">
      <c r="B78" s="16"/>
      <c r="C78" s="5"/>
      <c r="D78" s="11"/>
      <c r="E78" s="26"/>
      <c r="G78" s="27"/>
    </row>
    <row r="79" spans="2:7" x14ac:dyDescent="0.4">
      <c r="B79" s="16" t="s">
        <v>97</v>
      </c>
      <c r="C79" s="5" t="s">
        <v>98</v>
      </c>
      <c r="D79" s="11"/>
      <c r="E79" s="26"/>
      <c r="G79" s="27"/>
    </row>
    <row r="80" spans="2:7" x14ac:dyDescent="0.4">
      <c r="B80" s="16"/>
      <c r="C80" s="5"/>
      <c r="D80" s="11"/>
      <c r="E80" s="26"/>
      <c r="G80" s="27"/>
    </row>
    <row r="81" spans="2:7" x14ac:dyDescent="0.4">
      <c r="B81" s="16" t="s">
        <v>99</v>
      </c>
      <c r="C81" s="5" t="s">
        <v>100</v>
      </c>
      <c r="D81" s="11"/>
      <c r="E81" s="26"/>
      <c r="G81" s="27"/>
    </row>
    <row r="82" spans="2:7" x14ac:dyDescent="0.4">
      <c r="B82" s="16"/>
      <c r="C82" s="5" t="s">
        <v>101</v>
      </c>
      <c r="D82" s="11"/>
      <c r="E82" s="26"/>
      <c r="G82" s="27"/>
    </row>
    <row r="83" spans="2:7" x14ac:dyDescent="0.4">
      <c r="B83" s="16"/>
      <c r="C83" s="5"/>
      <c r="D83" s="11"/>
      <c r="E83" s="26"/>
      <c r="G83" s="27"/>
    </row>
    <row r="84" spans="2:7" x14ac:dyDescent="0.4">
      <c r="B84" s="16" t="s">
        <v>102</v>
      </c>
      <c r="C84" s="5" t="s">
        <v>103</v>
      </c>
      <c r="D84" s="11"/>
      <c r="E84" s="26"/>
      <c r="G84" s="27"/>
    </row>
    <row r="85" spans="2:7" x14ac:dyDescent="0.4">
      <c r="B85" s="16"/>
      <c r="C85" s="5"/>
      <c r="D85" s="11"/>
      <c r="E85" s="26"/>
      <c r="G85" s="27"/>
    </row>
    <row r="86" spans="2:7" x14ac:dyDescent="0.4">
      <c r="B86" s="16" t="s">
        <v>104</v>
      </c>
      <c r="C86" s="5" t="s">
        <v>105</v>
      </c>
      <c r="D86" s="11"/>
      <c r="E86" s="26"/>
      <c r="G86" s="27"/>
    </row>
    <row r="87" spans="2:7" x14ac:dyDescent="0.4">
      <c r="B87" s="16"/>
      <c r="C87" s="5"/>
      <c r="D87" s="11"/>
      <c r="E87" s="26"/>
      <c r="G87" s="27"/>
    </row>
    <row r="88" spans="2:7" x14ac:dyDescent="0.4">
      <c r="B88" s="17" t="s">
        <v>106</v>
      </c>
      <c r="C88" s="5" t="s">
        <v>107</v>
      </c>
      <c r="D88" s="11"/>
      <c r="E88" s="26"/>
      <c r="G88" s="27"/>
    </row>
    <row r="89" spans="2:7" x14ac:dyDescent="0.4">
      <c r="B89" s="16"/>
      <c r="C89" s="5" t="s">
        <v>108</v>
      </c>
      <c r="D89" s="11"/>
      <c r="E89" s="26"/>
      <c r="G89" s="27"/>
    </row>
    <row r="90" spans="2:7" x14ac:dyDescent="0.4">
      <c r="B90" s="16"/>
      <c r="C90" s="5"/>
      <c r="D90" s="11"/>
      <c r="E90" s="26"/>
      <c r="G90" s="27"/>
    </row>
    <row r="91" spans="2:7" x14ac:dyDescent="0.4">
      <c r="B91" s="16" t="s">
        <v>109</v>
      </c>
      <c r="C91" s="5" t="s">
        <v>220</v>
      </c>
      <c r="D91" s="11"/>
      <c r="E91" s="26"/>
      <c r="G91" s="27"/>
    </row>
    <row r="92" spans="2:7" x14ac:dyDescent="0.4">
      <c r="B92" s="16"/>
      <c r="C92" s="5"/>
      <c r="D92" s="11"/>
      <c r="E92" s="26"/>
      <c r="G92" s="27"/>
    </row>
    <row r="93" spans="2:7" x14ac:dyDescent="0.4">
      <c r="B93" s="17" t="s">
        <v>110</v>
      </c>
      <c r="C93" s="5" t="s">
        <v>111</v>
      </c>
      <c r="D93" s="11"/>
      <c r="E93" s="26"/>
      <c r="G93" s="27"/>
    </row>
    <row r="94" spans="2:7" x14ac:dyDescent="0.4">
      <c r="B94" s="16"/>
      <c r="C94" s="5" t="s">
        <v>112</v>
      </c>
      <c r="D94" s="11"/>
      <c r="E94" s="26"/>
      <c r="G94" s="27"/>
    </row>
    <row r="95" spans="2:7" x14ac:dyDescent="0.4">
      <c r="B95" s="95" t="s">
        <v>27</v>
      </c>
      <c r="C95" s="4" t="s">
        <v>20</v>
      </c>
      <c r="D95" s="23"/>
      <c r="E95" s="26"/>
      <c r="G95" s="27"/>
    </row>
    <row r="96" spans="2:7" x14ac:dyDescent="0.4">
      <c r="B96" s="96"/>
      <c r="C96" s="6" t="s">
        <v>113</v>
      </c>
      <c r="D96" s="10"/>
      <c r="E96" s="26"/>
      <c r="G96" s="27"/>
    </row>
    <row r="97" spans="2:7" x14ac:dyDescent="0.4">
      <c r="B97" s="96"/>
      <c r="C97" s="6" t="s">
        <v>114</v>
      </c>
      <c r="D97" s="10"/>
      <c r="E97" s="26"/>
      <c r="G97" s="27"/>
    </row>
    <row r="98" spans="2:7" x14ac:dyDescent="0.4">
      <c r="B98" s="96"/>
      <c r="C98" s="6" t="s">
        <v>115</v>
      </c>
      <c r="D98" s="10"/>
      <c r="E98" s="26"/>
      <c r="G98" s="27"/>
    </row>
    <row r="99" spans="2:7" x14ac:dyDescent="0.4">
      <c r="B99" s="96"/>
      <c r="C99" s="6" t="s">
        <v>116</v>
      </c>
      <c r="D99" s="10"/>
      <c r="E99" s="26"/>
      <c r="G99" s="27"/>
    </row>
    <row r="100" spans="2:7" x14ac:dyDescent="0.4">
      <c r="B100" s="96"/>
      <c r="C100" s="6" t="s">
        <v>117</v>
      </c>
      <c r="D100" s="10"/>
      <c r="E100" s="26"/>
      <c r="G100" s="27"/>
    </row>
    <row r="101" spans="2:7" x14ac:dyDescent="0.4">
      <c r="B101" s="96"/>
      <c r="C101" s="6" t="s">
        <v>118</v>
      </c>
      <c r="D101" s="10"/>
      <c r="E101" s="26"/>
      <c r="G101" s="27"/>
    </row>
    <row r="102" spans="2:7" x14ac:dyDescent="0.4">
      <c r="B102" s="96"/>
      <c r="C102" s="6" t="s">
        <v>119</v>
      </c>
      <c r="D102" s="10"/>
      <c r="E102" s="26"/>
      <c r="G102" s="27"/>
    </row>
    <row r="103" spans="2:7" x14ac:dyDescent="0.4">
      <c r="B103" s="96"/>
      <c r="C103" s="6" t="s">
        <v>120</v>
      </c>
      <c r="D103" s="10"/>
      <c r="E103" s="26"/>
      <c r="G103" s="27"/>
    </row>
    <row r="104" spans="2:7" x14ac:dyDescent="0.4">
      <c r="B104" s="96"/>
      <c r="C104" s="6" t="s">
        <v>121</v>
      </c>
      <c r="D104" s="10"/>
      <c r="E104" s="26"/>
      <c r="G104" s="27"/>
    </row>
    <row r="105" spans="2:7" x14ac:dyDescent="0.4">
      <c r="B105" s="96"/>
      <c r="C105" s="6" t="s">
        <v>122</v>
      </c>
      <c r="D105" s="10"/>
      <c r="E105" s="26"/>
      <c r="G105" s="27"/>
    </row>
    <row r="106" spans="2:7" x14ac:dyDescent="0.4">
      <c r="B106" s="96"/>
      <c r="C106" s="6"/>
      <c r="D106" s="10"/>
      <c r="E106" s="26"/>
      <c r="G106" s="27"/>
    </row>
    <row r="107" spans="2:7" x14ac:dyDescent="0.4">
      <c r="B107" s="96"/>
      <c r="C107" s="6"/>
      <c r="D107" s="10"/>
      <c r="E107" s="26"/>
      <c r="G107" s="27"/>
    </row>
    <row r="108" spans="2:7" x14ac:dyDescent="0.4">
      <c r="B108" s="96"/>
      <c r="C108" s="6"/>
      <c r="D108" s="10"/>
      <c r="E108" s="26"/>
      <c r="G108" s="27"/>
    </row>
    <row r="109" spans="2:7" x14ac:dyDescent="0.4">
      <c r="B109" s="96"/>
      <c r="C109" s="6"/>
      <c r="D109" s="10"/>
      <c r="E109" s="26"/>
      <c r="G109" s="27"/>
    </row>
    <row r="110" spans="2:7" x14ac:dyDescent="0.4">
      <c r="B110" s="97"/>
      <c r="C110" s="8"/>
      <c r="D110" s="24"/>
      <c r="E110" s="26"/>
      <c r="G110" s="27"/>
    </row>
    <row r="111" spans="2:7" x14ac:dyDescent="0.4">
      <c r="B111" s="16" t="s">
        <v>123</v>
      </c>
      <c r="C111" s="6" t="s">
        <v>124</v>
      </c>
      <c r="D111" s="10"/>
      <c r="E111" s="26"/>
      <c r="G111" s="27"/>
    </row>
    <row r="112" spans="2:7" x14ac:dyDescent="0.4">
      <c r="B112" s="16"/>
      <c r="C112" s="6" t="s">
        <v>125</v>
      </c>
      <c r="D112" s="10"/>
      <c r="E112" s="26"/>
      <c r="G112" s="27"/>
    </row>
    <row r="113" spans="2:7" x14ac:dyDescent="0.4">
      <c r="B113" s="16"/>
      <c r="C113" s="6" t="s">
        <v>126</v>
      </c>
      <c r="D113" s="10"/>
      <c r="E113" s="26"/>
      <c r="G113" s="27"/>
    </row>
    <row r="114" spans="2:7" x14ac:dyDescent="0.4">
      <c r="B114" s="16"/>
      <c r="C114" s="6" t="s">
        <v>127</v>
      </c>
      <c r="D114" s="10"/>
      <c r="E114" s="26"/>
      <c r="G114" s="27"/>
    </row>
    <row r="115" spans="2:7" x14ac:dyDescent="0.4">
      <c r="B115" s="16"/>
      <c r="C115" s="6" t="s">
        <v>128</v>
      </c>
      <c r="D115" s="10"/>
      <c r="E115" s="26"/>
      <c r="G115" s="27"/>
    </row>
    <row r="116" spans="2:7" x14ac:dyDescent="0.4">
      <c r="B116" s="16"/>
      <c r="C116" s="6" t="s">
        <v>129</v>
      </c>
      <c r="D116" s="10"/>
      <c r="E116" s="26"/>
      <c r="G116" s="27"/>
    </row>
    <row r="117" spans="2:7" x14ac:dyDescent="0.4">
      <c r="B117" s="16"/>
      <c r="C117" s="6"/>
      <c r="D117" s="10"/>
      <c r="E117" s="26"/>
      <c r="G117" s="27"/>
    </row>
    <row r="118" spans="2:7" x14ac:dyDescent="0.4">
      <c r="B118" s="16" t="s">
        <v>130</v>
      </c>
      <c r="C118" s="6" t="s">
        <v>131</v>
      </c>
      <c r="D118" s="10"/>
      <c r="E118" s="26"/>
      <c r="G118" s="27"/>
    </row>
    <row r="119" spans="2:7" x14ac:dyDescent="0.4">
      <c r="B119" s="16"/>
      <c r="C119" s="6" t="s">
        <v>132</v>
      </c>
      <c r="D119" s="10"/>
      <c r="E119" s="26"/>
      <c r="G119" s="27"/>
    </row>
    <row r="120" spans="2:7" x14ac:dyDescent="0.4">
      <c r="B120" s="16"/>
      <c r="C120" s="6" t="s">
        <v>133</v>
      </c>
      <c r="D120" s="10"/>
      <c r="E120" s="26"/>
      <c r="G120" s="27"/>
    </row>
    <row r="121" spans="2:7" x14ac:dyDescent="0.4">
      <c r="B121" s="16"/>
      <c r="C121" s="6" t="s">
        <v>134</v>
      </c>
      <c r="D121" s="10"/>
      <c r="E121" s="26"/>
      <c r="G121" s="27"/>
    </row>
    <row r="122" spans="2:7" x14ac:dyDescent="0.4">
      <c r="B122" s="16"/>
      <c r="C122" s="6" t="s">
        <v>135</v>
      </c>
      <c r="D122" s="10"/>
      <c r="E122" s="26"/>
      <c r="G122" s="27"/>
    </row>
    <row r="123" spans="2:7" x14ac:dyDescent="0.4">
      <c r="B123" s="16"/>
      <c r="C123" s="6" t="s">
        <v>136</v>
      </c>
      <c r="D123" s="10"/>
      <c r="E123" s="26"/>
      <c r="G123" s="27"/>
    </row>
    <row r="124" spans="2:7" x14ac:dyDescent="0.4">
      <c r="B124" s="16"/>
      <c r="C124" s="6" t="s">
        <v>137</v>
      </c>
      <c r="D124" s="10"/>
      <c r="E124" s="26"/>
      <c r="G124" s="27"/>
    </row>
    <row r="125" spans="2:7" x14ac:dyDescent="0.4">
      <c r="B125" s="16"/>
      <c r="C125" s="6" t="s">
        <v>138</v>
      </c>
      <c r="D125" s="10"/>
      <c r="E125" s="26"/>
      <c r="G125" s="27"/>
    </row>
    <row r="126" spans="2:7" x14ac:dyDescent="0.4">
      <c r="B126" s="16"/>
      <c r="C126" s="6" t="s">
        <v>139</v>
      </c>
      <c r="D126" s="10"/>
      <c r="E126" s="26"/>
      <c r="G126" s="27"/>
    </row>
    <row r="127" spans="2:7" x14ac:dyDescent="0.4">
      <c r="B127" s="16"/>
      <c r="C127" s="6" t="s">
        <v>140</v>
      </c>
      <c r="D127" s="10"/>
      <c r="E127" s="26"/>
      <c r="G127" s="27"/>
    </row>
    <row r="128" spans="2:7" x14ac:dyDescent="0.4">
      <c r="B128" s="16"/>
      <c r="C128" s="6" t="s">
        <v>141</v>
      </c>
      <c r="D128" s="10"/>
      <c r="E128" s="26"/>
      <c r="G128" s="27"/>
    </row>
    <row r="129" spans="2:7" x14ac:dyDescent="0.4">
      <c r="B129" s="16"/>
      <c r="C129" s="6"/>
      <c r="D129" s="10"/>
      <c r="E129" s="26"/>
      <c r="G129" s="27"/>
    </row>
    <row r="130" spans="2:7" x14ac:dyDescent="0.4">
      <c r="B130" s="16" t="s">
        <v>142</v>
      </c>
      <c r="C130" s="6" t="s">
        <v>143</v>
      </c>
      <c r="D130" s="10"/>
      <c r="E130" s="26"/>
      <c r="G130" s="27" t="s">
        <v>212</v>
      </c>
    </row>
    <row r="131" spans="2:7" ht="56.25" customHeight="1" x14ac:dyDescent="0.4">
      <c r="B131" s="16"/>
      <c r="C131" s="6" t="s">
        <v>213</v>
      </c>
      <c r="D131" s="10"/>
      <c r="E131" s="26"/>
      <c r="G131" s="27" t="s">
        <v>212</v>
      </c>
    </row>
    <row r="132" spans="2:7" ht="65.25" customHeight="1" x14ac:dyDescent="0.4">
      <c r="B132" s="16"/>
      <c r="C132" s="106" t="s">
        <v>214</v>
      </c>
      <c r="D132" s="107"/>
      <c r="E132" s="26"/>
      <c r="G132" s="27" t="s">
        <v>212</v>
      </c>
    </row>
    <row r="133" spans="2:7" x14ac:dyDescent="0.4">
      <c r="B133" s="16"/>
      <c r="C133" s="6" t="s">
        <v>216</v>
      </c>
      <c r="D133" s="10"/>
      <c r="E133" s="26"/>
      <c r="F133" s="27" t="s">
        <v>212</v>
      </c>
      <c r="G133" s="27"/>
    </row>
    <row r="134" spans="2:7" x14ac:dyDescent="0.4">
      <c r="B134" s="16"/>
      <c r="C134" s="6"/>
      <c r="D134" s="10"/>
      <c r="E134" s="26"/>
      <c r="G134" s="27"/>
    </row>
    <row r="135" spans="2:7" ht="33.75" customHeight="1" x14ac:dyDescent="0.4">
      <c r="B135" s="16" t="s">
        <v>144</v>
      </c>
      <c r="C135" s="106" t="s">
        <v>215</v>
      </c>
      <c r="D135" s="107"/>
      <c r="E135" s="26"/>
      <c r="G135" s="27" t="s">
        <v>212</v>
      </c>
    </row>
    <row r="136" spans="2:7" x14ac:dyDescent="0.4">
      <c r="B136" s="16"/>
      <c r="C136" s="6"/>
      <c r="D136" s="10"/>
      <c r="E136" s="26"/>
      <c r="G136" s="27"/>
    </row>
    <row r="137" spans="2:7" x14ac:dyDescent="0.4">
      <c r="B137" s="16"/>
      <c r="C137" s="6"/>
      <c r="D137" s="10"/>
      <c r="E137" s="26"/>
      <c r="G137" s="27"/>
    </row>
    <row r="138" spans="2:7" x14ac:dyDescent="0.4">
      <c r="B138" s="16"/>
      <c r="C138" s="6"/>
      <c r="D138" s="10"/>
      <c r="E138" s="26"/>
      <c r="G138" s="27"/>
    </row>
    <row r="139" spans="2:7" x14ac:dyDescent="0.4">
      <c r="B139" s="95" t="s">
        <v>28</v>
      </c>
      <c r="C139" s="4" t="s">
        <v>39</v>
      </c>
      <c r="D139" s="23"/>
      <c r="E139" s="26"/>
      <c r="G139" s="27" t="s">
        <v>212</v>
      </c>
    </row>
    <row r="140" spans="2:7" x14ac:dyDescent="0.4">
      <c r="B140" s="96"/>
      <c r="C140" s="5"/>
      <c r="D140" s="11"/>
      <c r="E140" s="26"/>
      <c r="G140" s="27"/>
    </row>
    <row r="141" spans="2:7" x14ac:dyDescent="0.4">
      <c r="B141" s="96"/>
      <c r="C141" s="5"/>
      <c r="D141" s="11"/>
      <c r="E141" s="26"/>
      <c r="G141" s="27"/>
    </row>
    <row r="142" spans="2:7" x14ac:dyDescent="0.4">
      <c r="B142" s="96"/>
      <c r="C142" s="5" t="s">
        <v>145</v>
      </c>
      <c r="D142" s="11"/>
      <c r="E142" s="26"/>
      <c r="G142" s="27"/>
    </row>
    <row r="143" spans="2:7" x14ac:dyDescent="0.4">
      <c r="B143" s="96"/>
      <c r="C143" s="5" t="s">
        <v>146</v>
      </c>
      <c r="D143" s="11"/>
      <c r="E143" s="26"/>
      <c r="G143" s="27"/>
    </row>
    <row r="144" spans="2:7" x14ac:dyDescent="0.4">
      <c r="B144" s="96"/>
      <c r="C144" s="5" t="s">
        <v>147</v>
      </c>
      <c r="D144" s="11"/>
      <c r="E144" s="26"/>
      <c r="G144" s="27"/>
    </row>
    <row r="145" spans="2:7" x14ac:dyDescent="0.4">
      <c r="B145" s="96"/>
      <c r="C145" s="5" t="s">
        <v>148</v>
      </c>
      <c r="D145" s="11"/>
      <c r="E145" s="26"/>
      <c r="G145" s="27"/>
    </row>
    <row r="146" spans="2:7" x14ac:dyDescent="0.4">
      <c r="B146" s="96"/>
      <c r="C146" s="5"/>
      <c r="D146" s="11"/>
      <c r="E146" s="26"/>
      <c r="G146" s="27"/>
    </row>
    <row r="147" spans="2:7" x14ac:dyDescent="0.4">
      <c r="B147" s="96"/>
      <c r="C147" s="5"/>
      <c r="D147" s="11"/>
      <c r="E147" s="26"/>
      <c r="G147" s="27"/>
    </row>
    <row r="148" spans="2:7" x14ac:dyDescent="0.4">
      <c r="B148" s="97"/>
      <c r="C148" s="7"/>
      <c r="D148" s="22"/>
      <c r="E148" s="26"/>
      <c r="G148" s="27"/>
    </row>
    <row r="149" spans="2:7" x14ac:dyDescent="0.4">
      <c r="B149" s="95" t="s">
        <v>29</v>
      </c>
      <c r="C149" s="4" t="s">
        <v>21</v>
      </c>
      <c r="D149" s="23"/>
      <c r="E149" s="26"/>
      <c r="G149" s="27"/>
    </row>
    <row r="150" spans="2:7" x14ac:dyDescent="0.4">
      <c r="B150" s="96"/>
      <c r="C150" s="6"/>
      <c r="D150" s="10"/>
      <c r="E150" s="26"/>
      <c r="G150" s="27"/>
    </row>
    <row r="151" spans="2:7" x14ac:dyDescent="0.4">
      <c r="B151" s="96"/>
      <c r="C151" s="6" t="s">
        <v>149</v>
      </c>
      <c r="D151" s="10"/>
      <c r="E151" s="26"/>
      <c r="G151" s="27"/>
    </row>
    <row r="152" spans="2:7" x14ac:dyDescent="0.4">
      <c r="B152" s="96"/>
      <c r="C152" s="6" t="s">
        <v>150</v>
      </c>
      <c r="D152" s="10"/>
      <c r="E152" s="26"/>
      <c r="G152" s="27"/>
    </row>
    <row r="153" spans="2:7" x14ac:dyDescent="0.4">
      <c r="B153" s="96"/>
      <c r="C153" s="6" t="s">
        <v>151</v>
      </c>
      <c r="D153" s="10"/>
      <c r="E153" s="26"/>
      <c r="G153" s="27"/>
    </row>
    <row r="154" spans="2:7" x14ac:dyDescent="0.4">
      <c r="B154" s="96"/>
      <c r="C154" s="6" t="s">
        <v>152</v>
      </c>
      <c r="D154" s="10"/>
      <c r="E154" s="26"/>
      <c r="G154" s="27"/>
    </row>
    <row r="155" spans="2:7" x14ac:dyDescent="0.4">
      <c r="B155" s="96"/>
      <c r="C155" s="6"/>
      <c r="D155" s="10"/>
      <c r="E155" s="26"/>
      <c r="G155" s="27"/>
    </row>
    <row r="156" spans="2:7" x14ac:dyDescent="0.4">
      <c r="B156" s="96"/>
      <c r="C156" s="6"/>
      <c r="D156" s="10"/>
      <c r="E156" s="26"/>
      <c r="G156" s="27"/>
    </row>
    <row r="157" spans="2:7" x14ac:dyDescent="0.4">
      <c r="B157" s="96"/>
      <c r="C157" s="6"/>
      <c r="D157" s="10"/>
      <c r="E157" s="26"/>
      <c r="G157" s="27"/>
    </row>
    <row r="158" spans="2:7" x14ac:dyDescent="0.4">
      <c r="B158" s="96"/>
      <c r="C158" s="6"/>
      <c r="D158" s="10"/>
      <c r="E158" s="26"/>
      <c r="G158" s="27"/>
    </row>
    <row r="159" spans="2:7" x14ac:dyDescent="0.4">
      <c r="B159" s="96"/>
      <c r="C159" s="6"/>
      <c r="D159" s="10"/>
      <c r="E159" s="26"/>
      <c r="G159" s="27"/>
    </row>
    <row r="160" spans="2:7" x14ac:dyDescent="0.4">
      <c r="B160" s="97"/>
      <c r="C160" s="7"/>
      <c r="D160" s="22"/>
      <c r="E160" s="26"/>
      <c r="G160" s="27"/>
    </row>
    <row r="161" spans="2:7" x14ac:dyDescent="0.4">
      <c r="B161" s="16" t="s">
        <v>153</v>
      </c>
      <c r="C161" s="5"/>
      <c r="D161" s="11"/>
      <c r="E161" s="26"/>
      <c r="G161" s="27"/>
    </row>
    <row r="162" spans="2:7" x14ac:dyDescent="0.4">
      <c r="B162" s="16"/>
      <c r="C162" s="5" t="s">
        <v>154</v>
      </c>
      <c r="D162" s="11"/>
      <c r="E162" s="26"/>
      <c r="G162" s="27"/>
    </row>
    <row r="163" spans="2:7" x14ac:dyDescent="0.4">
      <c r="B163" s="16"/>
      <c r="C163" s="5" t="s">
        <v>155</v>
      </c>
      <c r="D163" s="11"/>
      <c r="E163" s="26"/>
      <c r="G163" s="27"/>
    </row>
    <row r="164" spans="2:7" x14ac:dyDescent="0.4">
      <c r="B164" s="16"/>
      <c r="C164" s="5" t="s">
        <v>156</v>
      </c>
      <c r="D164" s="11"/>
      <c r="E164" s="26"/>
      <c r="G164" s="27"/>
    </row>
    <row r="165" spans="2:7" x14ac:dyDescent="0.4">
      <c r="B165" s="16"/>
      <c r="C165" s="5"/>
      <c r="D165" s="11"/>
      <c r="E165" s="26"/>
      <c r="G165" s="27"/>
    </row>
    <row r="166" spans="2:7" x14ac:dyDescent="0.4">
      <c r="B166" s="16" t="s">
        <v>157</v>
      </c>
      <c r="C166" s="5" t="s">
        <v>158</v>
      </c>
      <c r="D166" s="11"/>
      <c r="E166" s="26"/>
      <c r="G166" s="27"/>
    </row>
    <row r="167" spans="2:7" x14ac:dyDescent="0.4">
      <c r="B167" s="16"/>
      <c r="C167" s="5" t="s">
        <v>159</v>
      </c>
      <c r="D167" s="11"/>
      <c r="E167" s="26"/>
      <c r="G167" s="27"/>
    </row>
    <row r="168" spans="2:7" x14ac:dyDescent="0.4">
      <c r="B168" s="16"/>
      <c r="C168" s="5" t="s">
        <v>160</v>
      </c>
      <c r="D168" s="11"/>
      <c r="E168" s="26"/>
      <c r="G168" s="27"/>
    </row>
    <row r="169" spans="2:7" x14ac:dyDescent="0.4">
      <c r="B169" s="16"/>
      <c r="C169" s="5" t="s">
        <v>161</v>
      </c>
      <c r="D169" s="11"/>
      <c r="E169" s="26"/>
      <c r="G169" s="27"/>
    </row>
    <row r="170" spans="2:7" x14ac:dyDescent="0.4">
      <c r="B170" s="16"/>
      <c r="C170" s="5" t="s">
        <v>162</v>
      </c>
      <c r="D170" s="11"/>
      <c r="E170" s="26"/>
      <c r="G170" s="27"/>
    </row>
    <row r="171" spans="2:7" x14ac:dyDescent="0.4">
      <c r="B171" s="16"/>
      <c r="C171" s="5" t="s">
        <v>163</v>
      </c>
      <c r="D171" s="11"/>
      <c r="E171" s="26"/>
      <c r="G171" s="27"/>
    </row>
    <row r="172" spans="2:7" x14ac:dyDescent="0.4">
      <c r="B172" s="16"/>
      <c r="C172" s="5"/>
      <c r="D172" s="11"/>
      <c r="E172" s="26"/>
      <c r="G172" s="27"/>
    </row>
    <row r="173" spans="2:7" x14ac:dyDescent="0.4">
      <c r="B173" s="16" t="s">
        <v>164</v>
      </c>
      <c r="C173" s="5" t="s">
        <v>165</v>
      </c>
      <c r="D173" s="11"/>
      <c r="E173" s="26"/>
      <c r="G173" s="27"/>
    </row>
    <row r="174" spans="2:7" x14ac:dyDescent="0.4">
      <c r="B174" s="16"/>
      <c r="C174" s="5" t="s">
        <v>166</v>
      </c>
      <c r="D174" s="11"/>
      <c r="E174" s="26"/>
      <c r="G174" s="27"/>
    </row>
    <row r="175" spans="2:7" x14ac:dyDescent="0.4">
      <c r="B175" s="16"/>
      <c r="C175" s="5" t="s">
        <v>167</v>
      </c>
      <c r="D175" s="11"/>
      <c r="E175" s="26"/>
      <c r="G175" s="27"/>
    </row>
    <row r="176" spans="2:7" x14ac:dyDescent="0.4">
      <c r="B176" s="16"/>
      <c r="C176" s="5" t="s">
        <v>168</v>
      </c>
      <c r="D176" s="11"/>
      <c r="E176" s="26"/>
      <c r="G176" s="27"/>
    </row>
    <row r="177" spans="2:7" x14ac:dyDescent="0.4">
      <c r="B177" s="16"/>
      <c r="C177" s="5" t="s">
        <v>169</v>
      </c>
      <c r="D177" s="11"/>
      <c r="E177" s="26"/>
      <c r="G177" s="27"/>
    </row>
    <row r="178" spans="2:7" x14ac:dyDescent="0.4">
      <c r="B178" s="16"/>
      <c r="C178" s="5" t="s">
        <v>170</v>
      </c>
      <c r="D178" s="11"/>
      <c r="E178" s="26"/>
      <c r="G178" s="27"/>
    </row>
    <row r="179" spans="2:7" x14ac:dyDescent="0.4">
      <c r="B179" s="16"/>
      <c r="C179" s="5" t="s">
        <v>171</v>
      </c>
      <c r="D179" s="11"/>
      <c r="E179" s="26"/>
      <c r="G179" s="27"/>
    </row>
    <row r="180" spans="2:7" x14ac:dyDescent="0.4">
      <c r="B180" s="16"/>
      <c r="C180" s="5"/>
      <c r="D180" s="11"/>
      <c r="E180" s="26"/>
      <c r="G180" s="27"/>
    </row>
    <row r="181" spans="2:7" x14ac:dyDescent="0.4">
      <c r="B181" s="16" t="s">
        <v>172</v>
      </c>
      <c r="C181" s="5" t="s">
        <v>173</v>
      </c>
      <c r="D181" s="11"/>
      <c r="E181" s="26"/>
      <c r="G181" s="27"/>
    </row>
    <row r="182" spans="2:7" x14ac:dyDescent="0.4">
      <c r="B182" s="16"/>
      <c r="C182" s="5"/>
      <c r="D182" s="11"/>
      <c r="E182" s="26"/>
      <c r="G182" s="27"/>
    </row>
    <row r="183" spans="2:7" x14ac:dyDescent="0.4">
      <c r="B183" s="16"/>
      <c r="C183" s="5"/>
      <c r="D183" s="11"/>
      <c r="E183" s="26"/>
      <c r="G183" s="27"/>
    </row>
    <row r="184" spans="2:7" x14ac:dyDescent="0.4">
      <c r="B184" s="16"/>
      <c r="C184" s="5"/>
      <c r="D184" s="11"/>
      <c r="E184" s="26"/>
      <c r="G184" s="27"/>
    </row>
    <row r="185" spans="2:7" x14ac:dyDescent="0.4">
      <c r="B185" s="95" t="s">
        <v>30</v>
      </c>
      <c r="C185" s="4" t="s">
        <v>38</v>
      </c>
      <c r="D185" s="23"/>
      <c r="E185" s="26"/>
      <c r="G185" s="27"/>
    </row>
    <row r="186" spans="2:7" x14ac:dyDescent="0.4">
      <c r="B186" s="96"/>
      <c r="C186" s="6"/>
      <c r="D186" s="10"/>
      <c r="E186" s="26"/>
      <c r="G186" s="27"/>
    </row>
    <row r="187" spans="2:7" x14ac:dyDescent="0.4">
      <c r="B187" s="96"/>
      <c r="C187" s="6" t="s">
        <v>174</v>
      </c>
      <c r="D187" s="10"/>
      <c r="E187" s="26"/>
      <c r="G187" s="27"/>
    </row>
    <row r="188" spans="2:7" x14ac:dyDescent="0.4">
      <c r="B188" s="96"/>
      <c r="C188" s="6" t="s">
        <v>175</v>
      </c>
      <c r="D188" s="10"/>
      <c r="E188" s="26"/>
      <c r="G188" s="27"/>
    </row>
    <row r="189" spans="2:7" x14ac:dyDescent="0.4">
      <c r="B189" s="96"/>
      <c r="C189" s="6" t="s">
        <v>176</v>
      </c>
      <c r="D189" s="10"/>
      <c r="E189" s="26"/>
      <c r="G189" s="27"/>
    </row>
    <row r="190" spans="2:7" x14ac:dyDescent="0.4">
      <c r="B190" s="96"/>
      <c r="C190" s="6"/>
      <c r="D190" s="10"/>
      <c r="E190" s="26"/>
      <c r="G190" s="27"/>
    </row>
    <row r="191" spans="2:7" x14ac:dyDescent="0.4">
      <c r="B191" s="96"/>
      <c r="C191" s="6"/>
      <c r="D191" s="10"/>
      <c r="E191" s="26"/>
      <c r="G191" s="27"/>
    </row>
    <row r="192" spans="2:7" x14ac:dyDescent="0.4">
      <c r="B192" s="96"/>
      <c r="C192" s="6"/>
      <c r="D192" s="10"/>
      <c r="E192" s="26"/>
      <c r="G192" s="27"/>
    </row>
    <row r="193" spans="2:7" x14ac:dyDescent="0.4">
      <c r="B193" s="97"/>
      <c r="C193" s="7"/>
      <c r="D193" s="22"/>
      <c r="E193" s="26"/>
      <c r="G193" s="27"/>
    </row>
    <row r="194" spans="2:7" x14ac:dyDescent="0.4">
      <c r="B194" s="95" t="s">
        <v>31</v>
      </c>
      <c r="C194" s="4" t="s">
        <v>22</v>
      </c>
      <c r="D194" s="36"/>
      <c r="E194" s="26"/>
      <c r="G194" s="27"/>
    </row>
    <row r="195" spans="2:7" x14ac:dyDescent="0.4">
      <c r="B195" s="96"/>
      <c r="C195" s="6"/>
      <c r="D195" s="37"/>
      <c r="E195" s="26"/>
      <c r="G195" s="27"/>
    </row>
    <row r="196" spans="2:7" x14ac:dyDescent="0.4">
      <c r="B196" s="96"/>
      <c r="C196" s="6" t="s">
        <v>177</v>
      </c>
      <c r="D196" s="37"/>
      <c r="E196" s="26"/>
      <c r="G196" s="27"/>
    </row>
    <row r="197" spans="2:7" x14ac:dyDescent="0.4">
      <c r="B197" s="96"/>
      <c r="C197" s="6" t="s">
        <v>178</v>
      </c>
      <c r="D197" s="37"/>
      <c r="E197" s="26"/>
      <c r="G197" s="27"/>
    </row>
    <row r="198" spans="2:7" x14ac:dyDescent="0.4">
      <c r="B198" s="96"/>
      <c r="C198" s="6" t="s">
        <v>179</v>
      </c>
      <c r="D198" s="37"/>
      <c r="E198" s="26"/>
      <c r="G198" s="27"/>
    </row>
    <row r="199" spans="2:7" x14ac:dyDescent="0.4">
      <c r="B199" s="96"/>
      <c r="C199" s="6" t="s">
        <v>180</v>
      </c>
      <c r="D199" s="37"/>
      <c r="E199" s="26"/>
      <c r="G199" s="27"/>
    </row>
    <row r="200" spans="2:7" x14ac:dyDescent="0.4">
      <c r="B200" s="96"/>
      <c r="C200" s="6" t="s">
        <v>181</v>
      </c>
      <c r="D200" s="37"/>
      <c r="E200" s="26"/>
      <c r="G200" s="27"/>
    </row>
    <row r="201" spans="2:7" x14ac:dyDescent="0.4">
      <c r="B201" s="96"/>
      <c r="C201" s="6"/>
      <c r="D201" s="37"/>
      <c r="E201" s="26"/>
      <c r="G201" s="27"/>
    </row>
    <row r="202" spans="2:7" x14ac:dyDescent="0.4">
      <c r="B202" s="96"/>
      <c r="C202" s="6"/>
      <c r="D202" s="37"/>
      <c r="E202" s="26"/>
      <c r="G202" s="27"/>
    </row>
    <row r="203" spans="2:7" x14ac:dyDescent="0.4">
      <c r="B203" s="96"/>
      <c r="C203" s="6"/>
      <c r="D203" s="37"/>
      <c r="E203" s="26"/>
      <c r="G203" s="27"/>
    </row>
    <row r="204" spans="2:7" x14ac:dyDescent="0.4">
      <c r="B204" s="96"/>
      <c r="C204" s="6"/>
      <c r="D204" s="37"/>
      <c r="E204" s="26"/>
      <c r="G204" s="27"/>
    </row>
    <row r="205" spans="2:7" x14ac:dyDescent="0.4">
      <c r="B205" s="96"/>
      <c r="C205" s="6"/>
      <c r="D205" s="37"/>
      <c r="E205" s="26"/>
      <c r="G205" s="27"/>
    </row>
    <row r="206" spans="2:7" x14ac:dyDescent="0.4">
      <c r="B206" s="96"/>
      <c r="C206" s="6"/>
      <c r="D206" s="37"/>
      <c r="E206" s="26"/>
      <c r="G206" s="27"/>
    </row>
    <row r="207" spans="2:7" x14ac:dyDescent="0.4">
      <c r="B207" s="96"/>
      <c r="C207" s="6"/>
      <c r="D207" s="37"/>
      <c r="E207" s="26"/>
      <c r="G207" s="27"/>
    </row>
    <row r="208" spans="2:7" x14ac:dyDescent="0.4">
      <c r="B208" s="96"/>
      <c r="C208" s="6"/>
      <c r="D208" s="37"/>
      <c r="E208" s="26"/>
      <c r="G208" s="27"/>
    </row>
    <row r="209" spans="2:7" x14ac:dyDescent="0.4">
      <c r="B209" s="97"/>
      <c r="C209" s="7"/>
      <c r="D209" s="38"/>
      <c r="E209" s="26"/>
      <c r="G209" s="27"/>
    </row>
    <row r="210" spans="2:7" x14ac:dyDescent="0.4">
      <c r="B210" s="18"/>
      <c r="E210" s="26"/>
      <c r="G210" s="27"/>
    </row>
    <row r="211" spans="2:7" x14ac:dyDescent="0.4">
      <c r="B211" s="19" t="s">
        <v>182</v>
      </c>
      <c r="C211" s="3"/>
      <c r="D211" s="3"/>
      <c r="E211" s="26"/>
      <c r="G211" s="27"/>
    </row>
    <row r="212" spans="2:7" x14ac:dyDescent="0.4">
      <c r="B212" s="19"/>
      <c r="C212" s="3" t="s">
        <v>183</v>
      </c>
      <c r="D212" s="3"/>
      <c r="E212" s="26"/>
      <c r="G212" s="27"/>
    </row>
    <row r="213" spans="2:7" x14ac:dyDescent="0.4">
      <c r="B213" s="19"/>
      <c r="C213" s="3"/>
      <c r="D213" s="3"/>
      <c r="E213" s="26"/>
      <c r="G213" s="27"/>
    </row>
    <row r="214" spans="2:7" x14ac:dyDescent="0.4">
      <c r="B214" s="19" t="s">
        <v>184</v>
      </c>
      <c r="C214" s="3"/>
      <c r="D214" s="3"/>
      <c r="E214" s="26"/>
      <c r="G214" s="27"/>
    </row>
    <row r="215" spans="2:7" x14ac:dyDescent="0.4">
      <c r="B215" s="19"/>
      <c r="C215" s="3" t="s">
        <v>185</v>
      </c>
      <c r="D215" s="3"/>
      <c r="E215" s="26"/>
      <c r="G215" s="27"/>
    </row>
    <row r="216" spans="2:7" x14ac:dyDescent="0.4">
      <c r="B216" s="19"/>
      <c r="C216" s="3"/>
      <c r="D216" s="3"/>
      <c r="E216" s="26"/>
      <c r="G216" s="27"/>
    </row>
    <row r="217" spans="2:7" x14ac:dyDescent="0.4">
      <c r="B217" s="19" t="s">
        <v>186</v>
      </c>
      <c r="C217" s="3"/>
      <c r="D217" s="3"/>
      <c r="E217" s="26"/>
      <c r="G217" s="27"/>
    </row>
    <row r="218" spans="2:7" x14ac:dyDescent="0.4">
      <c r="B218" s="19"/>
      <c r="C218" s="3" t="s">
        <v>187</v>
      </c>
      <c r="D218" s="3"/>
      <c r="E218" s="26"/>
      <c r="G218" s="27"/>
    </row>
    <row r="219" spans="2:7" x14ac:dyDescent="0.4">
      <c r="B219" s="19"/>
      <c r="C219" s="3">
        <v>1</v>
      </c>
      <c r="D219" s="3" t="s">
        <v>188</v>
      </c>
      <c r="E219" s="26"/>
      <c r="G219" s="27"/>
    </row>
    <row r="220" spans="2:7" x14ac:dyDescent="0.4">
      <c r="B220" s="19"/>
      <c r="C220" s="3">
        <v>2</v>
      </c>
      <c r="D220" s="3" t="s">
        <v>189</v>
      </c>
      <c r="E220" s="26"/>
      <c r="G220" s="27"/>
    </row>
    <row r="221" spans="2:7" x14ac:dyDescent="0.4">
      <c r="B221" s="19"/>
      <c r="C221" s="3"/>
      <c r="D221" s="3"/>
      <c r="E221" s="26"/>
      <c r="G221" s="27"/>
    </row>
    <row r="222" spans="2:7" x14ac:dyDescent="0.4">
      <c r="B222" s="19" t="s">
        <v>190</v>
      </c>
      <c r="C222" s="3"/>
      <c r="D222" s="3"/>
      <c r="E222" s="26"/>
      <c r="G222" s="27"/>
    </row>
    <row r="223" spans="2:7" x14ac:dyDescent="0.4">
      <c r="B223" s="19"/>
      <c r="C223" s="3" t="s">
        <v>191</v>
      </c>
      <c r="D223" s="3"/>
      <c r="E223" s="26"/>
      <c r="G223" s="27"/>
    </row>
    <row r="224" spans="2:7" x14ac:dyDescent="0.4">
      <c r="B224" s="19"/>
      <c r="C224" s="3"/>
      <c r="D224" s="3"/>
      <c r="E224" s="26"/>
      <c r="G224" s="27"/>
    </row>
    <row r="225" spans="2:7" x14ac:dyDescent="0.4">
      <c r="B225" s="19" t="s">
        <v>192</v>
      </c>
      <c r="C225" s="3"/>
      <c r="D225" s="3"/>
      <c r="E225" s="26"/>
      <c r="G225" s="27"/>
    </row>
    <row r="226" spans="2:7" x14ac:dyDescent="0.4">
      <c r="B226" s="19"/>
      <c r="C226" s="3" t="s">
        <v>193</v>
      </c>
      <c r="D226" s="3"/>
      <c r="E226" s="26"/>
      <c r="G226" s="27"/>
    </row>
    <row r="227" spans="2:7" x14ac:dyDescent="0.4">
      <c r="B227" s="19"/>
      <c r="C227" s="3"/>
      <c r="D227" s="3"/>
      <c r="E227" s="26"/>
      <c r="G227" s="27"/>
    </row>
    <row r="228" spans="2:7" x14ac:dyDescent="0.4">
      <c r="B228" s="19" t="s">
        <v>194</v>
      </c>
      <c r="C228" s="3"/>
      <c r="D228" s="3"/>
      <c r="E228" s="26"/>
      <c r="G228" s="27"/>
    </row>
    <row r="229" spans="2:7" x14ac:dyDescent="0.4">
      <c r="B229" s="19"/>
      <c r="C229" s="3" t="s">
        <v>195</v>
      </c>
      <c r="D229" s="3"/>
      <c r="E229" s="26"/>
      <c r="G229" s="27"/>
    </row>
    <row r="230" spans="2:7" x14ac:dyDescent="0.4">
      <c r="B230" s="19"/>
      <c r="C230" s="3">
        <v>1</v>
      </c>
      <c r="D230" s="3" t="s">
        <v>196</v>
      </c>
      <c r="E230" s="26"/>
      <c r="G230" s="27"/>
    </row>
    <row r="231" spans="2:7" x14ac:dyDescent="0.4">
      <c r="B231" s="19"/>
      <c r="C231" s="3">
        <v>2</v>
      </c>
      <c r="D231" s="3" t="s">
        <v>197</v>
      </c>
      <c r="E231" s="26"/>
      <c r="G231" s="27"/>
    </row>
    <row r="232" spans="2:7" x14ac:dyDescent="0.4">
      <c r="B232" s="19"/>
      <c r="C232" s="3">
        <v>3</v>
      </c>
      <c r="D232" s="3" t="s">
        <v>198</v>
      </c>
      <c r="E232" s="26"/>
      <c r="G232" s="27"/>
    </row>
    <row r="233" spans="2:7" x14ac:dyDescent="0.4">
      <c r="B233" s="19"/>
      <c r="C233" s="3"/>
      <c r="D233" s="3"/>
      <c r="E233" s="26"/>
      <c r="G233" s="27"/>
    </row>
    <row r="234" spans="2:7" x14ac:dyDescent="0.4">
      <c r="B234" s="19" t="s">
        <v>199</v>
      </c>
      <c r="C234" s="3"/>
      <c r="D234" s="3"/>
      <c r="E234" s="26"/>
      <c r="G234" s="27"/>
    </row>
    <row r="235" spans="2:7" x14ac:dyDescent="0.4">
      <c r="B235" s="19"/>
      <c r="C235" s="3" t="s">
        <v>200</v>
      </c>
      <c r="D235" s="3"/>
      <c r="E235" s="26"/>
      <c r="G235" s="27"/>
    </row>
    <row r="236" spans="2:7" x14ac:dyDescent="0.4">
      <c r="B236" s="19"/>
      <c r="C236" s="3">
        <v>1</v>
      </c>
      <c r="D236" s="3" t="s">
        <v>201</v>
      </c>
      <c r="E236" s="26"/>
      <c r="G236" s="27"/>
    </row>
    <row r="237" spans="2:7" x14ac:dyDescent="0.4">
      <c r="B237" s="19"/>
      <c r="C237" s="3">
        <v>2</v>
      </c>
      <c r="D237" s="3" t="s">
        <v>202</v>
      </c>
      <c r="E237" s="26"/>
      <c r="G237" s="27"/>
    </row>
    <row r="238" spans="2:7" x14ac:dyDescent="0.4">
      <c r="B238" s="19"/>
      <c r="C238" s="3" t="s">
        <v>203</v>
      </c>
      <c r="D238" s="3"/>
      <c r="E238" s="26"/>
      <c r="G238" s="27"/>
    </row>
    <row r="239" spans="2:7" x14ac:dyDescent="0.4">
      <c r="B239" s="19" t="s">
        <v>204</v>
      </c>
      <c r="C239" s="3"/>
      <c r="D239" s="3"/>
      <c r="E239" s="26"/>
      <c r="G239" s="27"/>
    </row>
    <row r="240" spans="2:7" x14ac:dyDescent="0.4">
      <c r="B240" s="19"/>
      <c r="C240" s="3" t="s">
        <v>195</v>
      </c>
      <c r="D240" s="3"/>
      <c r="E240" s="26"/>
      <c r="G240" s="27"/>
    </row>
    <row r="241" spans="2:7" x14ac:dyDescent="0.4">
      <c r="B241" s="19"/>
      <c r="C241" s="3">
        <v>1</v>
      </c>
      <c r="D241" s="3" t="s">
        <v>205</v>
      </c>
      <c r="E241" s="26"/>
      <c r="G241" s="27"/>
    </row>
    <row r="242" spans="2:7" x14ac:dyDescent="0.4">
      <c r="B242" s="19"/>
      <c r="C242" s="3">
        <v>2</v>
      </c>
      <c r="D242" s="3" t="s">
        <v>206</v>
      </c>
      <c r="E242" s="26"/>
      <c r="G242" s="27"/>
    </row>
    <row r="243" spans="2:7" x14ac:dyDescent="0.4">
      <c r="B243" s="19"/>
      <c r="C243" s="3">
        <v>3</v>
      </c>
      <c r="D243" s="3" t="s">
        <v>207</v>
      </c>
      <c r="E243" s="26"/>
      <c r="G243" s="27"/>
    </row>
    <row r="244" spans="2:7" x14ac:dyDescent="0.4">
      <c r="B244" s="19"/>
      <c r="C244" s="3" t="s">
        <v>208</v>
      </c>
      <c r="D244" s="3"/>
      <c r="E244" s="26"/>
      <c r="G244" s="27"/>
    </row>
    <row r="245" spans="2:7" x14ac:dyDescent="0.4">
      <c r="B245" s="19" t="s">
        <v>209</v>
      </c>
      <c r="C245" s="3"/>
      <c r="D245" s="3"/>
      <c r="E245" s="26"/>
      <c r="G245" s="27"/>
    </row>
    <row r="246" spans="2:7" x14ac:dyDescent="0.4">
      <c r="B246" s="20"/>
      <c r="C246" s="21" t="s">
        <v>210</v>
      </c>
      <c r="D246" s="21"/>
      <c r="E246" s="28"/>
      <c r="F246" s="29"/>
      <c r="G246" s="30"/>
    </row>
    <row r="247" spans="2:7" x14ac:dyDescent="0.4">
      <c r="B247" s="3"/>
      <c r="C247" s="3"/>
      <c r="D247" s="3"/>
    </row>
    <row r="248" spans="2:7" x14ac:dyDescent="0.4">
      <c r="B248" s="3"/>
      <c r="C248" s="3"/>
      <c r="D248" s="3"/>
    </row>
    <row r="249" spans="2:7" x14ac:dyDescent="0.4">
      <c r="B249" s="3"/>
      <c r="C249" s="3" t="s">
        <v>211</v>
      </c>
      <c r="D249" s="3"/>
    </row>
  </sheetData>
  <mergeCells count="14">
    <mergeCell ref="B149:B160"/>
    <mergeCell ref="B185:B193"/>
    <mergeCell ref="B194:B209"/>
    <mergeCell ref="C2:D2"/>
    <mergeCell ref="B42:B46"/>
    <mergeCell ref="B47:B56"/>
    <mergeCell ref="B62:B75"/>
    <mergeCell ref="B95:B110"/>
    <mergeCell ref="B139:B148"/>
    <mergeCell ref="C5:D17"/>
    <mergeCell ref="C132:D132"/>
    <mergeCell ref="C135:D135"/>
    <mergeCell ref="C3:D3"/>
    <mergeCell ref="C4:D4"/>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4</vt:i4>
      </vt:variant>
    </vt:vector>
  </HeadingPairs>
  <TitlesOfParts>
    <vt:vector size="11" baseType="lpstr">
      <vt:lpstr>Sheet1</vt:lpstr>
      <vt:lpstr>項目一覧</vt:lpstr>
      <vt:lpstr>フロー</vt:lpstr>
      <vt:lpstr>MEMO</vt:lpstr>
      <vt:lpstr>パス</vt:lpstr>
      <vt:lpstr>LISTBOX管理</vt:lpstr>
      <vt:lpstr>規定</vt:lpstr>
      <vt:lpstr>システム開発系パス</vt:lpstr>
      <vt:lpstr>日々系_社長承認まで</vt:lpstr>
      <vt:lpstr>日々系_社長承認までパス</vt:lpstr>
      <vt:lpstr>日々系パス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篠島 永恭</dc:creator>
  <cp:lastModifiedBy>篠島 永恭</cp:lastModifiedBy>
  <cp:lastPrinted>2025-04-08T00:24:25Z</cp:lastPrinted>
  <dcterms:created xsi:type="dcterms:W3CDTF">2024-11-07T08:28:55Z</dcterms:created>
  <dcterms:modified xsi:type="dcterms:W3CDTF">2025-04-08T09:00:09Z</dcterms:modified>
</cp:coreProperties>
</file>